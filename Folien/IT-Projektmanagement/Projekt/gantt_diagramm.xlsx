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fhjoanneum-my.sharepoint.com/personal/steffen_marz_edu_fh-joanneum_at/Documents/SS25/IT-Projektmanagement/Projekt/"/>
    </mc:Choice>
  </mc:AlternateContent>
  <xr:revisionPtr revIDLastSave="0" documentId="8_{CC846BAF-B6B8-46B7-BA75-17F6E94928B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antt Diagram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C21" i="1"/>
  <c r="D18" i="1"/>
  <c r="C18" i="1"/>
  <c r="D14" i="1"/>
  <c r="C14" i="1"/>
  <c r="D11" i="1"/>
  <c r="C11" i="1"/>
  <c r="D6" i="1"/>
  <c r="C6" i="1"/>
  <c r="D2" i="1"/>
  <c r="C2" i="1"/>
</calcChain>
</file>

<file path=xl/sharedStrings.xml><?xml version="1.0" encoding="utf-8"?>
<sst xmlns="http://schemas.openxmlformats.org/spreadsheetml/2006/main" count="74" uniqueCount="67">
  <si>
    <t>ID</t>
  </si>
  <si>
    <t>Task Name</t>
  </si>
  <si>
    <t>Start Date</t>
  </si>
  <si>
    <t>End Date</t>
  </si>
  <si>
    <t>Responsible</t>
  </si>
  <si>
    <t>1.0</t>
  </si>
  <si>
    <t>Phase 1: Analyse &amp; Vorbereitung</t>
  </si>
  <si>
    <t>Projektmanager</t>
  </si>
  <si>
    <t>1.1</t>
  </si>
  <si>
    <t>Bestandsaufnahme IT &amp; Prozesse</t>
  </si>
  <si>
    <t>IT, Fachabteilungen</t>
  </si>
  <si>
    <t>1.2</t>
  </si>
  <si>
    <t>Detaill. Anforderungskatalog</t>
  </si>
  <si>
    <t>PJM, KeyUser</t>
  </si>
  <si>
    <t>1.3</t>
  </si>
  <si>
    <t>Erstellung Datenschutzkonzept</t>
  </si>
  <si>
    <t>DSB, PJM</t>
  </si>
  <si>
    <t>2.0</t>
  </si>
  <si>
    <t>Phase 2: Planung &amp; Konzeption</t>
  </si>
  <si>
    <t>2.1</t>
  </si>
  <si>
    <t>Integrationsplan</t>
  </si>
  <si>
    <t>IT, Hersteller</t>
  </si>
  <si>
    <t>2.2</t>
  </si>
  <si>
    <t>Testplan</t>
  </si>
  <si>
    <t>PJM, IT</t>
  </si>
  <si>
    <t>2.3</t>
  </si>
  <si>
    <t>Definition KPIs</t>
  </si>
  <si>
    <t>Projektleitung</t>
  </si>
  <si>
    <t>2.4</t>
  </si>
  <si>
    <t>Erstellung Schulungsmaterial (Basis)</t>
  </si>
  <si>
    <t>Hersteller, KeyUser</t>
  </si>
  <si>
    <t>3.0</t>
  </si>
  <si>
    <t>Phase 3: Technische Integration &amp; Tests</t>
  </si>
  <si>
    <t>IT</t>
  </si>
  <si>
    <t>3.1</t>
  </si>
  <si>
    <t>Anbindung KIS RIS LIS PACS</t>
  </si>
  <si>
    <t>3.2</t>
  </si>
  <si>
    <t>Durchführung Integrations- &amp; Sich.-Tests</t>
  </si>
  <si>
    <t>IT, Externe Experten</t>
  </si>
  <si>
    <t>4.0</t>
  </si>
  <si>
    <t>Phase 4: Pilotphase &amp; Schulung</t>
  </si>
  <si>
    <t>4.1</t>
  </si>
  <si>
    <t>Schulung Key-User</t>
  </si>
  <si>
    <t>Hersteller, PJM</t>
  </si>
  <si>
    <t>4.2</t>
  </si>
  <si>
    <t>Meilenstein 1: Einführung zur Testung (Pilotabt.)</t>
  </si>
  <si>
    <t>PJM, Pilotabteilung</t>
  </si>
  <si>
    <t>4.3</t>
  </si>
  <si>
    <t>Feedback Pilot &amp; Anpassungen</t>
  </si>
  <si>
    <t>PJM, IT, KeyUser</t>
  </si>
  <si>
    <t>5.0</t>
  </si>
  <si>
    <t>Phase 5: Rollout &amp; Einführung</t>
  </si>
  <si>
    <t>5.1</t>
  </si>
  <si>
    <t>Schulung med. Personal &amp; Mitarbeiter</t>
  </si>
  <si>
    <t>KeyUser, PJM</t>
  </si>
  <si>
    <t>5.2</t>
  </si>
  <si>
    <t>Meilenstein 2: Go-Live alle Abteilungen</t>
  </si>
  <si>
    <t>6.0</t>
  </si>
  <si>
    <t>Phase 6: Evaluierung &amp; Übergabe</t>
  </si>
  <si>
    <t>6.1</t>
  </si>
  <si>
    <t>Sammlung Nutzerfeedback Analyse</t>
  </si>
  <si>
    <t>PJM, Fachabteilungen</t>
  </si>
  <si>
    <t>6.2</t>
  </si>
  <si>
    <t>Berichterstellung Abschluss</t>
  </si>
  <si>
    <t>6.3</t>
  </si>
  <si>
    <t>Meilenstein 3: Übergabe an Wartung</t>
  </si>
  <si>
    <t>IT, Projektmanager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</si>
</sst>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4" fontId="0" fillId="0" borderId="0" xfId="0" applyNumberFormat="1" applyAlignment="1">
      <alignment horizontal="center" textRotation="9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Standard" xfId="0" builtinId="0"/>
  </cellStyles>
  <dxfs count="2">
    <dxf>
      <fill>
        <patternFill patternType="solid">
          <fgColor rgb="FF0070C0"/>
          <bgColor rgb="FF0070C0"/>
        </patternFill>
      </fill>
    </dxf>
    <dxf>
      <fill>
        <patternFill patternType="solid">
          <fgColor rgb="FF708090"/>
          <bgColor rgb="FF70809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4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E11" sqref="E11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4" width="12" customWidth="1"/>
    <col min="5" max="5" width="20" customWidth="1"/>
    <col min="6" max="72" width="4" customWidth="1"/>
  </cols>
  <sheetData>
    <row r="1" spans="1:72" ht="83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>
        <v>45866</v>
      </c>
      <c r="G1" s="5">
        <v>45873</v>
      </c>
      <c r="H1" s="5">
        <v>45880</v>
      </c>
      <c r="I1" s="5">
        <v>45887</v>
      </c>
      <c r="J1" s="5">
        <v>45894</v>
      </c>
      <c r="K1" s="5">
        <v>45901</v>
      </c>
      <c r="L1" s="5">
        <v>45908</v>
      </c>
      <c r="M1" s="5">
        <v>45915</v>
      </c>
      <c r="N1" s="5">
        <v>45922</v>
      </c>
      <c r="O1" s="5">
        <v>45929</v>
      </c>
      <c r="P1" s="5">
        <v>45936</v>
      </c>
      <c r="Q1" s="5">
        <v>45943</v>
      </c>
      <c r="R1" s="5">
        <v>45950</v>
      </c>
      <c r="S1" s="5">
        <v>45957</v>
      </c>
      <c r="T1" s="5">
        <v>45964</v>
      </c>
      <c r="U1" s="5">
        <v>45971</v>
      </c>
      <c r="V1" s="5">
        <v>45978</v>
      </c>
      <c r="W1" s="5">
        <v>45985</v>
      </c>
      <c r="X1" s="5">
        <v>45992</v>
      </c>
      <c r="Y1" s="5">
        <v>45999</v>
      </c>
      <c r="Z1" s="5">
        <v>46006</v>
      </c>
      <c r="AA1" s="5">
        <v>46013</v>
      </c>
      <c r="AB1" s="5">
        <v>46020</v>
      </c>
      <c r="AC1" s="5">
        <v>46027</v>
      </c>
      <c r="AD1" s="5">
        <v>46034</v>
      </c>
      <c r="AE1" s="5">
        <v>46041</v>
      </c>
      <c r="AF1" s="5">
        <v>46048</v>
      </c>
      <c r="AG1" s="5">
        <v>46055</v>
      </c>
      <c r="AH1" s="5">
        <v>46062</v>
      </c>
      <c r="AI1" s="5">
        <v>46069</v>
      </c>
      <c r="AJ1" s="5">
        <v>46076</v>
      </c>
      <c r="AK1" s="5">
        <v>46083</v>
      </c>
      <c r="AL1" s="5">
        <v>46090</v>
      </c>
      <c r="AM1" s="5">
        <v>46097</v>
      </c>
      <c r="AN1" s="5">
        <v>46104</v>
      </c>
      <c r="AO1" s="5">
        <v>46111</v>
      </c>
      <c r="AP1" s="5">
        <v>46118</v>
      </c>
      <c r="AQ1" s="5">
        <v>46125</v>
      </c>
      <c r="AR1" s="5">
        <v>46132</v>
      </c>
      <c r="AS1" s="5">
        <v>46139</v>
      </c>
      <c r="AT1" s="5">
        <v>46146</v>
      </c>
      <c r="AU1" s="5">
        <v>46153</v>
      </c>
      <c r="AV1" s="5">
        <v>46160</v>
      </c>
      <c r="AW1" s="5">
        <v>46167</v>
      </c>
      <c r="AX1" s="5">
        <v>46174</v>
      </c>
      <c r="AY1" s="5">
        <v>46181</v>
      </c>
      <c r="AZ1" s="5">
        <v>46188</v>
      </c>
      <c r="BA1" s="5">
        <v>46195</v>
      </c>
      <c r="BB1" s="5">
        <v>46202</v>
      </c>
      <c r="BC1" s="5">
        <v>46209</v>
      </c>
      <c r="BD1" s="5">
        <v>46216</v>
      </c>
      <c r="BE1" s="5">
        <v>46223</v>
      </c>
      <c r="BF1" s="5">
        <v>46230</v>
      </c>
      <c r="BG1" s="5">
        <v>46237</v>
      </c>
      <c r="BH1" s="5">
        <v>46244</v>
      </c>
      <c r="BI1" s="5">
        <v>46251</v>
      </c>
      <c r="BJ1" s="5">
        <v>46258</v>
      </c>
      <c r="BK1" s="5">
        <v>46265</v>
      </c>
      <c r="BL1" s="5">
        <v>46272</v>
      </c>
      <c r="BM1" s="5">
        <v>46279</v>
      </c>
      <c r="BN1" s="5">
        <v>46286</v>
      </c>
      <c r="BO1" s="5">
        <v>46293</v>
      </c>
      <c r="BP1" s="5">
        <v>46300</v>
      </c>
      <c r="BQ1" s="5">
        <v>46307</v>
      </c>
      <c r="BR1" s="5">
        <v>46314</v>
      </c>
      <c r="BS1" s="5">
        <v>46321</v>
      </c>
      <c r="BT1" s="5">
        <v>46328</v>
      </c>
    </row>
    <row r="2" spans="1:72" x14ac:dyDescent="0.25">
      <c r="A2" s="2" t="s">
        <v>5</v>
      </c>
      <c r="B2" s="2" t="s">
        <v>6</v>
      </c>
      <c r="C2" s="3">
        <f>MIN(C3:C5)</f>
        <v>45870</v>
      </c>
      <c r="D2" s="3">
        <f>MAX(D3:D5)</f>
        <v>45991</v>
      </c>
      <c r="E2" s="2" t="s">
        <v>7</v>
      </c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8"/>
    </row>
    <row r="3" spans="1:72" x14ac:dyDescent="0.25">
      <c r="A3" t="s">
        <v>8</v>
      </c>
      <c r="B3" t="s">
        <v>9</v>
      </c>
      <c r="C3" s="4">
        <v>45870</v>
      </c>
      <c r="D3" s="4">
        <v>45930</v>
      </c>
      <c r="E3" t="s">
        <v>10</v>
      </c>
      <c r="F3" s="6"/>
      <c r="G3" s="7"/>
      <c r="H3" s="7"/>
      <c r="I3" s="7"/>
      <c r="J3" s="7"/>
      <c r="K3" s="7"/>
      <c r="L3" s="7"/>
      <c r="M3" s="7"/>
      <c r="N3" s="7"/>
      <c r="O3" s="9"/>
    </row>
    <row r="4" spans="1:72" x14ac:dyDescent="0.25">
      <c r="A4" t="s">
        <v>11</v>
      </c>
      <c r="B4" t="s">
        <v>12</v>
      </c>
      <c r="C4" s="4">
        <v>45931</v>
      </c>
      <c r="D4" s="4">
        <v>45991</v>
      </c>
      <c r="E4" t="s">
        <v>13</v>
      </c>
      <c r="O4" s="6"/>
      <c r="P4" s="7"/>
      <c r="Q4" s="7"/>
      <c r="R4" s="7"/>
      <c r="S4" s="7"/>
      <c r="T4" s="7"/>
      <c r="U4" s="7"/>
      <c r="V4" s="7"/>
      <c r="W4" s="8"/>
    </row>
    <row r="5" spans="1:72" x14ac:dyDescent="0.25">
      <c r="A5" t="s">
        <v>14</v>
      </c>
      <c r="B5" t="s">
        <v>15</v>
      </c>
      <c r="C5" s="4">
        <v>45931</v>
      </c>
      <c r="D5" s="4">
        <v>45991</v>
      </c>
      <c r="E5" t="s">
        <v>16</v>
      </c>
      <c r="O5" s="6"/>
      <c r="P5" s="7"/>
      <c r="Q5" s="7"/>
      <c r="R5" s="7"/>
      <c r="S5" s="7"/>
      <c r="T5" s="7"/>
      <c r="U5" s="7"/>
      <c r="V5" s="7"/>
      <c r="W5" s="8"/>
    </row>
    <row r="6" spans="1:72" x14ac:dyDescent="0.25">
      <c r="A6" s="2" t="s">
        <v>17</v>
      </c>
      <c r="B6" s="2" t="s">
        <v>18</v>
      </c>
      <c r="C6" s="3">
        <f>MIN(C7:C10)</f>
        <v>45992</v>
      </c>
      <c r="D6" s="3">
        <f>MAX(D7:D10)</f>
        <v>46173</v>
      </c>
      <c r="E6" s="2" t="s">
        <v>7</v>
      </c>
      <c r="X6" s="6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8"/>
    </row>
    <row r="7" spans="1:72" x14ac:dyDescent="0.25">
      <c r="A7" t="s">
        <v>19</v>
      </c>
      <c r="B7" t="s">
        <v>20</v>
      </c>
      <c r="C7" s="4">
        <v>45992</v>
      </c>
      <c r="D7" s="4">
        <v>46081</v>
      </c>
      <c r="E7" t="s">
        <v>21</v>
      </c>
      <c r="X7" s="6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8"/>
    </row>
    <row r="8" spans="1:72" x14ac:dyDescent="0.25">
      <c r="A8" t="s">
        <v>22</v>
      </c>
      <c r="B8" t="s">
        <v>23</v>
      </c>
      <c r="C8" s="4">
        <v>46082</v>
      </c>
      <c r="D8" s="4">
        <v>46142</v>
      </c>
      <c r="E8" t="s">
        <v>24</v>
      </c>
    </row>
    <row r="9" spans="1:72" x14ac:dyDescent="0.25">
      <c r="A9" t="s">
        <v>25</v>
      </c>
      <c r="B9" t="s">
        <v>26</v>
      </c>
      <c r="C9" s="4">
        <v>45992</v>
      </c>
      <c r="D9" s="4">
        <v>46053</v>
      </c>
      <c r="E9" t="s">
        <v>27</v>
      </c>
      <c r="X9" s="6"/>
      <c r="Y9" s="7"/>
      <c r="Z9" s="7"/>
      <c r="AA9" s="7"/>
      <c r="AB9" s="7"/>
      <c r="AC9" s="7"/>
      <c r="AD9" s="7"/>
      <c r="AE9" s="7"/>
      <c r="AF9" s="8"/>
    </row>
    <row r="10" spans="1:72" x14ac:dyDescent="0.25">
      <c r="A10" t="s">
        <v>28</v>
      </c>
      <c r="B10" t="s">
        <v>29</v>
      </c>
      <c r="C10" s="4">
        <v>46082</v>
      </c>
      <c r="D10" s="4">
        <v>46173</v>
      </c>
      <c r="E10" t="s">
        <v>30</v>
      </c>
    </row>
    <row r="11" spans="1:72" x14ac:dyDescent="0.25">
      <c r="A11" s="2" t="s">
        <v>31</v>
      </c>
      <c r="B11" s="2" t="s">
        <v>32</v>
      </c>
      <c r="C11" s="3">
        <f>MIN(C12:C13)</f>
        <v>46082</v>
      </c>
      <c r="D11" s="3">
        <f>MAX(D12:D13)</f>
        <v>46265</v>
      </c>
      <c r="E11" s="2" t="s">
        <v>33</v>
      </c>
    </row>
    <row r="12" spans="1:72" x14ac:dyDescent="0.25">
      <c r="A12" t="s">
        <v>34</v>
      </c>
      <c r="B12" t="s">
        <v>35</v>
      </c>
      <c r="C12" s="4">
        <v>46082</v>
      </c>
      <c r="D12" s="4">
        <v>46234</v>
      </c>
      <c r="E12" t="s">
        <v>21</v>
      </c>
    </row>
    <row r="13" spans="1:72" x14ac:dyDescent="0.25">
      <c r="A13" t="s">
        <v>36</v>
      </c>
      <c r="B13" t="s">
        <v>37</v>
      </c>
      <c r="C13" s="4">
        <v>46174</v>
      </c>
      <c r="D13" s="4">
        <v>46265</v>
      </c>
      <c r="E13" t="s">
        <v>38</v>
      </c>
    </row>
    <row r="14" spans="1:72" x14ac:dyDescent="0.25">
      <c r="A14" s="2" t="s">
        <v>39</v>
      </c>
      <c r="B14" s="2" t="s">
        <v>40</v>
      </c>
      <c r="C14" s="3">
        <f>MIN(C15:C17)</f>
        <v>46082</v>
      </c>
      <c r="D14" s="3">
        <f>MAX(D15:D17)</f>
        <v>46295</v>
      </c>
      <c r="E14" s="2" t="s">
        <v>7</v>
      </c>
    </row>
    <row r="15" spans="1:72" x14ac:dyDescent="0.25">
      <c r="A15" t="s">
        <v>41</v>
      </c>
      <c r="B15" t="s">
        <v>42</v>
      </c>
      <c r="C15" s="4">
        <v>46082</v>
      </c>
      <c r="D15" s="4">
        <v>46173</v>
      </c>
      <c r="E15" t="s">
        <v>43</v>
      </c>
    </row>
    <row r="16" spans="1:72" x14ac:dyDescent="0.25">
      <c r="A16" t="s">
        <v>44</v>
      </c>
      <c r="B16" t="s">
        <v>45</v>
      </c>
      <c r="C16" s="4">
        <v>46235</v>
      </c>
      <c r="D16" s="4">
        <v>46265</v>
      </c>
      <c r="E16" t="s">
        <v>46</v>
      </c>
    </row>
    <row r="17" spans="1:5" x14ac:dyDescent="0.25">
      <c r="A17" t="s">
        <v>47</v>
      </c>
      <c r="B17" t="s">
        <v>48</v>
      </c>
      <c r="C17" s="4">
        <v>46266</v>
      </c>
      <c r="D17" s="4">
        <v>46295</v>
      </c>
      <c r="E17" t="s">
        <v>49</v>
      </c>
    </row>
    <row r="18" spans="1:5" x14ac:dyDescent="0.25">
      <c r="A18" s="2" t="s">
        <v>50</v>
      </c>
      <c r="B18" s="2" t="s">
        <v>51</v>
      </c>
      <c r="C18" s="3">
        <f>MIN(C19:C20)</f>
        <v>46174</v>
      </c>
      <c r="D18" s="3">
        <f>MAX(D19:D20)</f>
        <v>46295</v>
      </c>
      <c r="E18" s="2" t="s">
        <v>7</v>
      </c>
    </row>
    <row r="19" spans="1:5" x14ac:dyDescent="0.25">
      <c r="A19" t="s">
        <v>52</v>
      </c>
      <c r="B19" t="s">
        <v>53</v>
      </c>
      <c r="C19" s="4">
        <v>46174</v>
      </c>
      <c r="D19" s="4">
        <v>46295</v>
      </c>
      <c r="E19" t="s">
        <v>54</v>
      </c>
    </row>
    <row r="20" spans="1:5" x14ac:dyDescent="0.25">
      <c r="A20" t="s">
        <v>55</v>
      </c>
      <c r="B20" t="s">
        <v>56</v>
      </c>
      <c r="C20" s="4">
        <v>46266</v>
      </c>
      <c r="D20" s="4">
        <v>46295</v>
      </c>
      <c r="E20" t="s">
        <v>24</v>
      </c>
    </row>
    <row r="21" spans="1:5" x14ac:dyDescent="0.25">
      <c r="A21" s="2" t="s">
        <v>57</v>
      </c>
      <c r="B21" s="2" t="s">
        <v>58</v>
      </c>
      <c r="C21" s="3">
        <f>MIN(C22:C24)</f>
        <v>46296</v>
      </c>
      <c r="D21" s="3">
        <f>MAX(D22:D24)</f>
        <v>46326</v>
      </c>
      <c r="E21" s="2" t="s">
        <v>7</v>
      </c>
    </row>
    <row r="22" spans="1:5" x14ac:dyDescent="0.25">
      <c r="A22" t="s">
        <v>59</v>
      </c>
      <c r="B22" t="s">
        <v>60</v>
      </c>
      <c r="C22" s="4">
        <v>46296</v>
      </c>
      <c r="D22" s="4">
        <v>46326</v>
      </c>
      <c r="E22" t="s">
        <v>61</v>
      </c>
    </row>
    <row r="23" spans="1:5" x14ac:dyDescent="0.25">
      <c r="A23" t="s">
        <v>62</v>
      </c>
      <c r="B23" t="s">
        <v>63</v>
      </c>
      <c r="C23" s="4">
        <v>46296</v>
      </c>
      <c r="D23" s="4">
        <v>46326</v>
      </c>
      <c r="E23" t="s">
        <v>7</v>
      </c>
    </row>
    <row r="24" spans="1:5" x14ac:dyDescent="0.25">
      <c r="A24" t="s">
        <v>64</v>
      </c>
      <c r="B24" t="s">
        <v>65</v>
      </c>
      <c r="C24" s="4">
        <v>46326</v>
      </c>
      <c r="D24" s="4">
        <v>46326</v>
      </c>
      <c r="E24" t="s">
        <v>66</v>
      </c>
    </row>
  </sheetData>
  <conditionalFormatting sqref="F2:BT24">
    <cfRule type="expression" dxfId="1" priority="1">
      <formula>AND(RIGHT($A2,2)=".0", $C2&lt;&gt;"", $D2&lt;&gt;"", $C2&lt;=F$1+6, $D2&gt;=F$1)</formula>
    </cfRule>
    <cfRule type="expression" dxfId="0" priority="2">
      <formula>AND($C2&lt;&gt;"", $D2&lt;&gt;"", $C2&lt;=F$1+6, $D2&gt;=F$1)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Gantt Diagramm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Marz Steffen</cp:lastModifiedBy>
  <dcterms:created xsi:type="dcterms:W3CDTF">2025-05-11T00:00:06Z</dcterms:created>
  <dcterms:modified xsi:type="dcterms:W3CDTF">2025-05-11T00:02:07Z</dcterms:modified>
</cp:coreProperties>
</file>