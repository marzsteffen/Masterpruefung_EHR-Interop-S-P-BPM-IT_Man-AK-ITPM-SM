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165_fhooe_at/Documents/Desktop/2024_25 Wintersemester/VL Steiermark_2024_25/Handouts/FALLSTUDIE UND PFADMODELLIERUNGEN/FALLSTUDIE HERNIE/"/>
    </mc:Choice>
  </mc:AlternateContent>
  <xr:revisionPtr revIDLastSave="385" documentId="11_215D531EA080C287F7CAE11FDC162CDC62515C79" xr6:coauthVersionLast="47" xr6:coauthVersionMax="47" xr10:uidLastSave="{B93061C8-0D30-4458-8C16-7EBD8E8D11E3}"/>
  <bookViews>
    <workbookView xWindow="-28920" yWindow="-2610" windowWidth="29040" windowHeight="17520" xr2:uid="{00000000-000D-0000-FFFF-FFFF00000000}"/>
  </bookViews>
  <sheets>
    <sheet name="Laborleistungen" sheetId="2" r:id="rId1"/>
    <sheet name="Tabelle1" sheetId="12" r:id="rId2"/>
    <sheet name="Radiologische Leistungen" sheetId="11" r:id="rId3"/>
  </sheets>
  <calcPr calcId="191028" calcOnSave="0"/>
  <pivotCaches>
    <pivotCache cacheId="14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N6" i="11"/>
  <c r="N7" i="11"/>
  <c r="N8" i="11"/>
  <c r="N9" i="11"/>
  <c r="N10" i="11"/>
  <c r="N11" i="11"/>
  <c r="N12" i="11"/>
  <c r="N13" i="11"/>
  <c r="N14" i="11"/>
  <c r="N15" i="11"/>
  <c r="N16" i="11"/>
  <c r="N5" i="11"/>
  <c r="M6" i="11"/>
  <c r="M7" i="11"/>
  <c r="M8" i="11"/>
  <c r="M9" i="11"/>
  <c r="M10" i="11"/>
  <c r="M11" i="11"/>
  <c r="M12" i="11"/>
  <c r="M13" i="11"/>
  <c r="M14" i="11"/>
  <c r="M15" i="11"/>
  <c r="M16" i="11"/>
  <c r="L6" i="11"/>
  <c r="L7" i="11"/>
  <c r="L8" i="11"/>
  <c r="L9" i="11"/>
  <c r="L10" i="11"/>
  <c r="L11" i="11"/>
  <c r="L12" i="11"/>
  <c r="L13" i="11"/>
  <c r="L14" i="11"/>
  <c r="L15" i="11"/>
  <c r="L16" i="11"/>
  <c r="M5" i="11"/>
  <c r="L5" i="11"/>
  <c r="B70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5" i="2"/>
  <c r="AM6" i="2"/>
  <c r="AN6" i="2" s="1"/>
  <c r="AM7" i="2"/>
  <c r="AN7" i="2" s="1"/>
  <c r="AM8" i="2"/>
  <c r="AN8" i="2" s="1"/>
  <c r="AM9" i="2"/>
  <c r="AN9" i="2" s="1"/>
  <c r="AM10" i="2"/>
  <c r="AN10" i="2" s="1"/>
  <c r="AM11" i="2"/>
  <c r="AN11" i="2" s="1"/>
  <c r="AM12" i="2"/>
  <c r="AN12" i="2" s="1"/>
  <c r="AM13" i="2"/>
  <c r="AN13" i="2" s="1"/>
  <c r="AM14" i="2"/>
  <c r="AN14" i="2" s="1"/>
  <c r="AM15" i="2"/>
  <c r="AN15" i="2" s="1"/>
  <c r="AM16" i="2"/>
  <c r="AN16" i="2" s="1"/>
  <c r="AM17" i="2"/>
  <c r="AN17" i="2" s="1"/>
  <c r="AM18" i="2"/>
  <c r="AN18" i="2" s="1"/>
  <c r="AM19" i="2"/>
  <c r="AN19" i="2" s="1"/>
  <c r="AM20" i="2"/>
  <c r="AN20" i="2" s="1"/>
  <c r="AM21" i="2"/>
  <c r="AN21" i="2" s="1"/>
  <c r="AM22" i="2"/>
  <c r="AN22" i="2" s="1"/>
  <c r="AM23" i="2"/>
  <c r="AN23" i="2" s="1"/>
  <c r="AM24" i="2"/>
  <c r="AN24" i="2" s="1"/>
  <c r="AM25" i="2"/>
  <c r="AN25" i="2" s="1"/>
  <c r="AM26" i="2"/>
  <c r="AN26" i="2" s="1"/>
  <c r="AM27" i="2"/>
  <c r="AN27" i="2" s="1"/>
  <c r="AM28" i="2"/>
  <c r="AN28" i="2" s="1"/>
  <c r="AM29" i="2"/>
  <c r="AN29" i="2" s="1"/>
  <c r="AM30" i="2"/>
  <c r="AN30" i="2" s="1"/>
  <c r="AM31" i="2"/>
  <c r="AN31" i="2" s="1"/>
  <c r="AM32" i="2"/>
  <c r="AN32" i="2" s="1"/>
  <c r="AM33" i="2"/>
  <c r="AN33" i="2" s="1"/>
  <c r="AM34" i="2"/>
  <c r="AN34" i="2" s="1"/>
  <c r="AM35" i="2"/>
  <c r="AN35" i="2" s="1"/>
  <c r="AM36" i="2"/>
  <c r="AN36" i="2" s="1"/>
  <c r="AM37" i="2"/>
  <c r="AN37" i="2" s="1"/>
  <c r="AM38" i="2"/>
  <c r="AN38" i="2" s="1"/>
  <c r="AM39" i="2"/>
  <c r="AN39" i="2" s="1"/>
  <c r="AM40" i="2"/>
  <c r="AN40" i="2" s="1"/>
  <c r="AM41" i="2"/>
  <c r="AN41" i="2" s="1"/>
  <c r="AM42" i="2"/>
  <c r="AN42" i="2" s="1"/>
  <c r="AM43" i="2"/>
  <c r="AN43" i="2" s="1"/>
  <c r="AM44" i="2"/>
  <c r="AN44" i="2" s="1"/>
  <c r="AM45" i="2"/>
  <c r="AN45" i="2" s="1"/>
  <c r="AM46" i="2"/>
  <c r="AN46" i="2" s="1"/>
  <c r="AM47" i="2"/>
  <c r="AN47" i="2" s="1"/>
  <c r="AM48" i="2"/>
  <c r="AN48" i="2" s="1"/>
  <c r="AM49" i="2"/>
  <c r="AN49" i="2" s="1"/>
  <c r="AM50" i="2"/>
  <c r="AN50" i="2" s="1"/>
  <c r="AM51" i="2"/>
  <c r="AN51" i="2" s="1"/>
  <c r="AM52" i="2"/>
  <c r="AN52" i="2" s="1"/>
  <c r="AM53" i="2"/>
  <c r="AN53" i="2" s="1"/>
  <c r="AM54" i="2"/>
  <c r="AN54" i="2" s="1"/>
  <c r="AM55" i="2"/>
  <c r="AN55" i="2" s="1"/>
  <c r="AM56" i="2"/>
  <c r="AN56" i="2" s="1"/>
  <c r="AM57" i="2"/>
  <c r="AN57" i="2" s="1"/>
  <c r="AM58" i="2"/>
  <c r="AN58" i="2" s="1"/>
  <c r="AM59" i="2"/>
  <c r="AN59" i="2" s="1"/>
  <c r="AM60" i="2"/>
  <c r="AN60" i="2" s="1"/>
  <c r="AK6" i="2"/>
  <c r="AL6" i="2" s="1"/>
  <c r="AK7" i="2"/>
  <c r="AL7" i="2" s="1"/>
  <c r="AK8" i="2"/>
  <c r="AL8" i="2" s="1"/>
  <c r="AK9" i="2"/>
  <c r="AL9" i="2" s="1"/>
  <c r="AK10" i="2"/>
  <c r="AL10" i="2" s="1"/>
  <c r="AK11" i="2"/>
  <c r="AL11" i="2" s="1"/>
  <c r="AK12" i="2"/>
  <c r="AL12" i="2" s="1"/>
  <c r="AK13" i="2"/>
  <c r="AL13" i="2" s="1"/>
  <c r="AK14" i="2"/>
  <c r="AL14" i="2" s="1"/>
  <c r="AK15" i="2"/>
  <c r="AL15" i="2" s="1"/>
  <c r="AK16" i="2"/>
  <c r="AL16" i="2" s="1"/>
  <c r="AK17" i="2"/>
  <c r="AL17" i="2" s="1"/>
  <c r="AK18" i="2"/>
  <c r="AL18" i="2" s="1"/>
  <c r="AK19" i="2"/>
  <c r="AL19" i="2" s="1"/>
  <c r="AK20" i="2"/>
  <c r="AL20" i="2" s="1"/>
  <c r="AK21" i="2"/>
  <c r="AL21" i="2" s="1"/>
  <c r="AK22" i="2"/>
  <c r="AL22" i="2" s="1"/>
  <c r="AK23" i="2"/>
  <c r="AL23" i="2" s="1"/>
  <c r="AK24" i="2"/>
  <c r="AL24" i="2" s="1"/>
  <c r="AK25" i="2"/>
  <c r="AL25" i="2" s="1"/>
  <c r="AK26" i="2"/>
  <c r="AL26" i="2" s="1"/>
  <c r="AK27" i="2"/>
  <c r="AL27" i="2" s="1"/>
  <c r="AK28" i="2"/>
  <c r="AL28" i="2" s="1"/>
  <c r="AK29" i="2"/>
  <c r="AL29" i="2" s="1"/>
  <c r="AK30" i="2"/>
  <c r="AL30" i="2" s="1"/>
  <c r="AK31" i="2"/>
  <c r="AL31" i="2" s="1"/>
  <c r="AK32" i="2"/>
  <c r="AL32" i="2" s="1"/>
  <c r="AK33" i="2"/>
  <c r="AL33" i="2" s="1"/>
  <c r="AK34" i="2"/>
  <c r="AL34" i="2" s="1"/>
  <c r="AK35" i="2"/>
  <c r="AL35" i="2" s="1"/>
  <c r="AK36" i="2"/>
  <c r="AL36" i="2" s="1"/>
  <c r="AK37" i="2"/>
  <c r="AL37" i="2" s="1"/>
  <c r="AK38" i="2"/>
  <c r="AL38" i="2" s="1"/>
  <c r="AK39" i="2"/>
  <c r="AL39" i="2" s="1"/>
  <c r="AK40" i="2"/>
  <c r="AL40" i="2" s="1"/>
  <c r="AK41" i="2"/>
  <c r="AL41" i="2" s="1"/>
  <c r="AK42" i="2"/>
  <c r="AL42" i="2" s="1"/>
  <c r="AK43" i="2"/>
  <c r="AL43" i="2" s="1"/>
  <c r="AK44" i="2"/>
  <c r="AL44" i="2" s="1"/>
  <c r="AK45" i="2"/>
  <c r="AL45" i="2" s="1"/>
  <c r="AK46" i="2"/>
  <c r="AL46" i="2" s="1"/>
  <c r="AK47" i="2"/>
  <c r="AL47" i="2" s="1"/>
  <c r="AK48" i="2"/>
  <c r="AL48" i="2" s="1"/>
  <c r="AK49" i="2"/>
  <c r="AL49" i="2" s="1"/>
  <c r="AK50" i="2"/>
  <c r="AL50" i="2" s="1"/>
  <c r="AK51" i="2"/>
  <c r="AL51" i="2" s="1"/>
  <c r="AK52" i="2"/>
  <c r="AL52" i="2" s="1"/>
  <c r="AK53" i="2"/>
  <c r="AL53" i="2" s="1"/>
  <c r="AK54" i="2"/>
  <c r="AL54" i="2" s="1"/>
  <c r="AK55" i="2"/>
  <c r="AL55" i="2" s="1"/>
  <c r="AK56" i="2"/>
  <c r="AL56" i="2" s="1"/>
  <c r="AK57" i="2"/>
  <c r="AL57" i="2" s="1"/>
  <c r="AK58" i="2"/>
  <c r="AL58" i="2" s="1"/>
  <c r="AK59" i="2"/>
  <c r="AL59" i="2" s="1"/>
  <c r="AK60" i="2"/>
  <c r="AL60" i="2" s="1"/>
  <c r="AI6" i="2"/>
  <c r="AJ6" i="2" s="1"/>
  <c r="AI7" i="2"/>
  <c r="AJ7" i="2" s="1"/>
  <c r="AI8" i="2"/>
  <c r="AJ8" i="2" s="1"/>
  <c r="AI9" i="2"/>
  <c r="AJ9" i="2" s="1"/>
  <c r="AI10" i="2"/>
  <c r="AJ10" i="2" s="1"/>
  <c r="AI11" i="2"/>
  <c r="AJ11" i="2" s="1"/>
  <c r="AI12" i="2"/>
  <c r="AJ12" i="2" s="1"/>
  <c r="AI13" i="2"/>
  <c r="AJ13" i="2" s="1"/>
  <c r="AI14" i="2"/>
  <c r="AJ14" i="2" s="1"/>
  <c r="AI15" i="2"/>
  <c r="AJ15" i="2" s="1"/>
  <c r="AI16" i="2"/>
  <c r="AJ16" i="2" s="1"/>
  <c r="AI17" i="2"/>
  <c r="AJ17" i="2" s="1"/>
  <c r="AI18" i="2"/>
  <c r="AJ18" i="2" s="1"/>
  <c r="AI19" i="2"/>
  <c r="AJ19" i="2" s="1"/>
  <c r="AI20" i="2"/>
  <c r="AJ20" i="2" s="1"/>
  <c r="AI21" i="2"/>
  <c r="AJ21" i="2" s="1"/>
  <c r="AI22" i="2"/>
  <c r="AJ22" i="2" s="1"/>
  <c r="AI23" i="2"/>
  <c r="AJ23" i="2" s="1"/>
  <c r="AI24" i="2"/>
  <c r="AJ24" i="2" s="1"/>
  <c r="AI25" i="2"/>
  <c r="AJ25" i="2" s="1"/>
  <c r="AI26" i="2"/>
  <c r="AJ26" i="2" s="1"/>
  <c r="AI27" i="2"/>
  <c r="AJ27" i="2" s="1"/>
  <c r="AI28" i="2"/>
  <c r="AJ28" i="2" s="1"/>
  <c r="AI29" i="2"/>
  <c r="AJ29" i="2" s="1"/>
  <c r="AI30" i="2"/>
  <c r="AJ30" i="2" s="1"/>
  <c r="AI31" i="2"/>
  <c r="AJ31" i="2" s="1"/>
  <c r="AI32" i="2"/>
  <c r="AJ32" i="2" s="1"/>
  <c r="AI33" i="2"/>
  <c r="AJ33" i="2" s="1"/>
  <c r="AI34" i="2"/>
  <c r="AJ34" i="2" s="1"/>
  <c r="AI35" i="2"/>
  <c r="AJ35" i="2" s="1"/>
  <c r="AI36" i="2"/>
  <c r="AJ36" i="2" s="1"/>
  <c r="AI37" i="2"/>
  <c r="AJ37" i="2" s="1"/>
  <c r="AI38" i="2"/>
  <c r="AJ38" i="2" s="1"/>
  <c r="AI39" i="2"/>
  <c r="AJ39" i="2" s="1"/>
  <c r="AI40" i="2"/>
  <c r="AJ40" i="2" s="1"/>
  <c r="AI41" i="2"/>
  <c r="AJ41" i="2" s="1"/>
  <c r="AI42" i="2"/>
  <c r="AJ42" i="2" s="1"/>
  <c r="AI43" i="2"/>
  <c r="AJ43" i="2" s="1"/>
  <c r="AI44" i="2"/>
  <c r="AJ44" i="2" s="1"/>
  <c r="AI45" i="2"/>
  <c r="AJ45" i="2" s="1"/>
  <c r="AI46" i="2"/>
  <c r="AJ46" i="2" s="1"/>
  <c r="AI47" i="2"/>
  <c r="AJ47" i="2" s="1"/>
  <c r="AI48" i="2"/>
  <c r="AJ48" i="2" s="1"/>
  <c r="AI49" i="2"/>
  <c r="AJ49" i="2" s="1"/>
  <c r="AI50" i="2"/>
  <c r="AJ50" i="2" s="1"/>
  <c r="AI51" i="2"/>
  <c r="AJ51" i="2" s="1"/>
  <c r="AI52" i="2"/>
  <c r="AJ52" i="2" s="1"/>
  <c r="AI53" i="2"/>
  <c r="AJ53" i="2" s="1"/>
  <c r="AI54" i="2"/>
  <c r="AJ54" i="2" s="1"/>
  <c r="AI55" i="2"/>
  <c r="AJ55" i="2" s="1"/>
  <c r="AI56" i="2"/>
  <c r="AJ56" i="2" s="1"/>
  <c r="AI57" i="2"/>
  <c r="AJ57" i="2" s="1"/>
  <c r="AI58" i="2"/>
  <c r="AJ58" i="2" s="1"/>
  <c r="AI59" i="2"/>
  <c r="AJ59" i="2" s="1"/>
  <c r="AI60" i="2"/>
  <c r="AJ60" i="2" s="1"/>
  <c r="AG6" i="2"/>
  <c r="AH6" i="2" s="1"/>
  <c r="AG7" i="2"/>
  <c r="AH7" i="2" s="1"/>
  <c r="AG8" i="2"/>
  <c r="AH8" i="2" s="1"/>
  <c r="AG9" i="2"/>
  <c r="AH9" i="2" s="1"/>
  <c r="AG10" i="2"/>
  <c r="AH10" i="2" s="1"/>
  <c r="AG11" i="2"/>
  <c r="AH11" i="2" s="1"/>
  <c r="AG12" i="2"/>
  <c r="AH12" i="2" s="1"/>
  <c r="AG13" i="2"/>
  <c r="AH13" i="2" s="1"/>
  <c r="AG14" i="2"/>
  <c r="AH14" i="2" s="1"/>
  <c r="AG15" i="2"/>
  <c r="AH15" i="2" s="1"/>
  <c r="AG16" i="2"/>
  <c r="AH16" i="2" s="1"/>
  <c r="AG17" i="2"/>
  <c r="AH17" i="2" s="1"/>
  <c r="AG18" i="2"/>
  <c r="AH18" i="2" s="1"/>
  <c r="AG19" i="2"/>
  <c r="AH19" i="2" s="1"/>
  <c r="AG20" i="2"/>
  <c r="AH20" i="2" s="1"/>
  <c r="AG21" i="2"/>
  <c r="AH21" i="2" s="1"/>
  <c r="AG22" i="2"/>
  <c r="AH22" i="2" s="1"/>
  <c r="AG23" i="2"/>
  <c r="AH23" i="2" s="1"/>
  <c r="AG24" i="2"/>
  <c r="AH24" i="2" s="1"/>
  <c r="AG25" i="2"/>
  <c r="AH25" i="2" s="1"/>
  <c r="AG26" i="2"/>
  <c r="AH26" i="2" s="1"/>
  <c r="AG27" i="2"/>
  <c r="AH27" i="2" s="1"/>
  <c r="AG28" i="2"/>
  <c r="AH28" i="2" s="1"/>
  <c r="AG29" i="2"/>
  <c r="AH29" i="2" s="1"/>
  <c r="AG30" i="2"/>
  <c r="AH30" i="2" s="1"/>
  <c r="AG31" i="2"/>
  <c r="AH31" i="2" s="1"/>
  <c r="AG32" i="2"/>
  <c r="AH32" i="2" s="1"/>
  <c r="AG33" i="2"/>
  <c r="AH33" i="2" s="1"/>
  <c r="AG34" i="2"/>
  <c r="AH34" i="2" s="1"/>
  <c r="AG35" i="2"/>
  <c r="AH35" i="2" s="1"/>
  <c r="AG36" i="2"/>
  <c r="AH36" i="2" s="1"/>
  <c r="AG37" i="2"/>
  <c r="AH37" i="2" s="1"/>
  <c r="AG38" i="2"/>
  <c r="AH38" i="2" s="1"/>
  <c r="AG39" i="2"/>
  <c r="AH39" i="2" s="1"/>
  <c r="AG40" i="2"/>
  <c r="AH40" i="2" s="1"/>
  <c r="AG41" i="2"/>
  <c r="AH41" i="2" s="1"/>
  <c r="AG42" i="2"/>
  <c r="AH42" i="2" s="1"/>
  <c r="AG43" i="2"/>
  <c r="AH43" i="2" s="1"/>
  <c r="AG44" i="2"/>
  <c r="AH44" i="2" s="1"/>
  <c r="AG45" i="2"/>
  <c r="AH45" i="2" s="1"/>
  <c r="AG46" i="2"/>
  <c r="AH46" i="2" s="1"/>
  <c r="AG47" i="2"/>
  <c r="AH47" i="2" s="1"/>
  <c r="AG48" i="2"/>
  <c r="AH48" i="2" s="1"/>
  <c r="AG49" i="2"/>
  <c r="AH49" i="2" s="1"/>
  <c r="AG50" i="2"/>
  <c r="AH50" i="2" s="1"/>
  <c r="AG51" i="2"/>
  <c r="AH51" i="2" s="1"/>
  <c r="AG52" i="2"/>
  <c r="AH52" i="2" s="1"/>
  <c r="AG53" i="2"/>
  <c r="AH53" i="2" s="1"/>
  <c r="AG54" i="2"/>
  <c r="AH54" i="2" s="1"/>
  <c r="AG55" i="2"/>
  <c r="AH55" i="2" s="1"/>
  <c r="AG56" i="2"/>
  <c r="AH56" i="2" s="1"/>
  <c r="AG57" i="2"/>
  <c r="AH57" i="2" s="1"/>
  <c r="AG58" i="2"/>
  <c r="AH58" i="2" s="1"/>
  <c r="AG59" i="2"/>
  <c r="AH59" i="2" s="1"/>
  <c r="AG60" i="2"/>
  <c r="AH60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F14" i="2" s="1"/>
  <c r="AE15" i="2"/>
  <c r="AF15" i="2" s="1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2" i="2"/>
  <c r="AF32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53" i="2"/>
  <c r="AF53" i="2" s="1"/>
  <c r="AE54" i="2"/>
  <c r="AF54" i="2" s="1"/>
  <c r="AE55" i="2"/>
  <c r="AF55" i="2" s="1"/>
  <c r="AE56" i="2"/>
  <c r="AF56" i="2" s="1"/>
  <c r="AE57" i="2"/>
  <c r="AF57" i="2" s="1"/>
  <c r="AE58" i="2"/>
  <c r="AF58" i="2" s="1"/>
  <c r="AE59" i="2"/>
  <c r="AF59" i="2" s="1"/>
  <c r="AE60" i="2"/>
  <c r="AF60" i="2" s="1"/>
  <c r="AC6" i="2"/>
  <c r="AD6" i="2" s="1"/>
  <c r="AC7" i="2"/>
  <c r="AD7" i="2" s="1"/>
  <c r="AC8" i="2"/>
  <c r="AD8" i="2" s="1"/>
  <c r="AC9" i="2"/>
  <c r="AD9" i="2" s="1"/>
  <c r="AC10" i="2"/>
  <c r="AD10" i="2" s="1"/>
  <c r="AC11" i="2"/>
  <c r="AD11" i="2" s="1"/>
  <c r="AC12" i="2"/>
  <c r="AD12" i="2" s="1"/>
  <c r="AC13" i="2"/>
  <c r="AD13" i="2" s="1"/>
  <c r="AC14" i="2"/>
  <c r="AD14" i="2" s="1"/>
  <c r="AC15" i="2"/>
  <c r="AD15" i="2" s="1"/>
  <c r="AC16" i="2"/>
  <c r="AD16" i="2" s="1"/>
  <c r="AC17" i="2"/>
  <c r="AD17" i="2" s="1"/>
  <c r="AC18" i="2"/>
  <c r="AD18" i="2" s="1"/>
  <c r="AC19" i="2"/>
  <c r="AD19" i="2" s="1"/>
  <c r="AC20" i="2"/>
  <c r="AD20" i="2" s="1"/>
  <c r="AC21" i="2"/>
  <c r="AD21" i="2" s="1"/>
  <c r="AC22" i="2"/>
  <c r="AD22" i="2" s="1"/>
  <c r="AC23" i="2"/>
  <c r="AD23" i="2" s="1"/>
  <c r="AC24" i="2"/>
  <c r="AD24" i="2" s="1"/>
  <c r="AC25" i="2"/>
  <c r="AD25" i="2" s="1"/>
  <c r="AC26" i="2"/>
  <c r="AD26" i="2" s="1"/>
  <c r="AC27" i="2"/>
  <c r="AD27" i="2" s="1"/>
  <c r="AC28" i="2"/>
  <c r="AD28" i="2" s="1"/>
  <c r="AC29" i="2"/>
  <c r="AD29" i="2" s="1"/>
  <c r="AC30" i="2"/>
  <c r="AD30" i="2" s="1"/>
  <c r="AC31" i="2"/>
  <c r="AD31" i="2" s="1"/>
  <c r="AC32" i="2"/>
  <c r="AD32" i="2" s="1"/>
  <c r="AC33" i="2"/>
  <c r="AD33" i="2" s="1"/>
  <c r="AC34" i="2"/>
  <c r="AD34" i="2" s="1"/>
  <c r="AC35" i="2"/>
  <c r="AD35" i="2" s="1"/>
  <c r="AC36" i="2"/>
  <c r="AD36" i="2" s="1"/>
  <c r="AC37" i="2"/>
  <c r="AD37" i="2" s="1"/>
  <c r="AC38" i="2"/>
  <c r="AD38" i="2" s="1"/>
  <c r="AC39" i="2"/>
  <c r="AD39" i="2" s="1"/>
  <c r="AC40" i="2"/>
  <c r="AD40" i="2" s="1"/>
  <c r="AC41" i="2"/>
  <c r="AD41" i="2" s="1"/>
  <c r="AC42" i="2"/>
  <c r="AD42" i="2" s="1"/>
  <c r="AC43" i="2"/>
  <c r="AD43" i="2" s="1"/>
  <c r="AC44" i="2"/>
  <c r="AD44" i="2" s="1"/>
  <c r="AC45" i="2"/>
  <c r="AD45" i="2" s="1"/>
  <c r="AC46" i="2"/>
  <c r="AD46" i="2" s="1"/>
  <c r="AC47" i="2"/>
  <c r="AD47" i="2" s="1"/>
  <c r="AC48" i="2"/>
  <c r="AD48" i="2" s="1"/>
  <c r="AC49" i="2"/>
  <c r="AD49" i="2" s="1"/>
  <c r="AC50" i="2"/>
  <c r="AD50" i="2" s="1"/>
  <c r="AC51" i="2"/>
  <c r="AD51" i="2" s="1"/>
  <c r="AC52" i="2"/>
  <c r="AD52" i="2" s="1"/>
  <c r="AC53" i="2"/>
  <c r="AD53" i="2" s="1"/>
  <c r="AC54" i="2"/>
  <c r="AD54" i="2" s="1"/>
  <c r="AC55" i="2"/>
  <c r="AD55" i="2" s="1"/>
  <c r="AC56" i="2"/>
  <c r="AD56" i="2" s="1"/>
  <c r="AC57" i="2"/>
  <c r="AD57" i="2" s="1"/>
  <c r="AC58" i="2"/>
  <c r="AD58" i="2" s="1"/>
  <c r="AC59" i="2"/>
  <c r="AD59" i="2" s="1"/>
  <c r="AC60" i="2"/>
  <c r="AD60" i="2" s="1"/>
  <c r="AA6" i="2"/>
  <c r="AB6" i="2" s="1"/>
  <c r="AA7" i="2"/>
  <c r="AB7" i="2" s="1"/>
  <c r="AA8" i="2"/>
  <c r="AB8" i="2" s="1"/>
  <c r="AA9" i="2"/>
  <c r="AB9" i="2" s="1"/>
  <c r="AA10" i="2"/>
  <c r="AB10" i="2" s="1"/>
  <c r="AA11" i="2"/>
  <c r="AB11" i="2" s="1"/>
  <c r="AA12" i="2"/>
  <c r="AB12" i="2" s="1"/>
  <c r="AA13" i="2"/>
  <c r="AB13" i="2" s="1"/>
  <c r="AA14" i="2"/>
  <c r="AB14" i="2" s="1"/>
  <c r="AA15" i="2"/>
  <c r="AB15" i="2" s="1"/>
  <c r="AA16" i="2"/>
  <c r="AB16" i="2" s="1"/>
  <c r="AA17" i="2"/>
  <c r="AB17" i="2" s="1"/>
  <c r="AA18" i="2"/>
  <c r="AB18" i="2" s="1"/>
  <c r="AA19" i="2"/>
  <c r="AB19" i="2" s="1"/>
  <c r="AA20" i="2"/>
  <c r="AB20" i="2" s="1"/>
  <c r="AA21" i="2"/>
  <c r="AB21" i="2" s="1"/>
  <c r="AA22" i="2"/>
  <c r="AB22" i="2" s="1"/>
  <c r="AA23" i="2"/>
  <c r="AB23" i="2" s="1"/>
  <c r="AA24" i="2"/>
  <c r="AB24" i="2" s="1"/>
  <c r="AA25" i="2"/>
  <c r="AB25" i="2" s="1"/>
  <c r="AA26" i="2"/>
  <c r="AB26" i="2" s="1"/>
  <c r="AA27" i="2"/>
  <c r="AB27" i="2" s="1"/>
  <c r="AA28" i="2"/>
  <c r="AB28" i="2" s="1"/>
  <c r="AA29" i="2"/>
  <c r="AB29" i="2" s="1"/>
  <c r="AA30" i="2"/>
  <c r="AB30" i="2" s="1"/>
  <c r="AA31" i="2"/>
  <c r="AB31" i="2" s="1"/>
  <c r="AA32" i="2"/>
  <c r="AB32" i="2" s="1"/>
  <c r="AA33" i="2"/>
  <c r="AB33" i="2" s="1"/>
  <c r="AA34" i="2"/>
  <c r="AB34" i="2" s="1"/>
  <c r="AA35" i="2"/>
  <c r="AB35" i="2" s="1"/>
  <c r="AA36" i="2"/>
  <c r="AB36" i="2" s="1"/>
  <c r="AA37" i="2"/>
  <c r="AB37" i="2" s="1"/>
  <c r="AA38" i="2"/>
  <c r="AB38" i="2" s="1"/>
  <c r="AA39" i="2"/>
  <c r="AB39" i="2" s="1"/>
  <c r="AA40" i="2"/>
  <c r="AB40" i="2" s="1"/>
  <c r="AA41" i="2"/>
  <c r="AB41" i="2" s="1"/>
  <c r="AA42" i="2"/>
  <c r="AB42" i="2" s="1"/>
  <c r="AA43" i="2"/>
  <c r="AB43" i="2" s="1"/>
  <c r="AA44" i="2"/>
  <c r="AB44" i="2" s="1"/>
  <c r="AA45" i="2"/>
  <c r="AB45" i="2" s="1"/>
  <c r="AA46" i="2"/>
  <c r="AB46" i="2" s="1"/>
  <c r="AA47" i="2"/>
  <c r="AB47" i="2" s="1"/>
  <c r="AA48" i="2"/>
  <c r="AB48" i="2" s="1"/>
  <c r="AA49" i="2"/>
  <c r="AB49" i="2" s="1"/>
  <c r="AA50" i="2"/>
  <c r="AB50" i="2" s="1"/>
  <c r="AA51" i="2"/>
  <c r="AB51" i="2" s="1"/>
  <c r="AA52" i="2"/>
  <c r="AB52" i="2" s="1"/>
  <c r="AA53" i="2"/>
  <c r="AB53" i="2" s="1"/>
  <c r="AA54" i="2"/>
  <c r="AB54" i="2" s="1"/>
  <c r="AA55" i="2"/>
  <c r="AB55" i="2" s="1"/>
  <c r="AA56" i="2"/>
  <c r="AB56" i="2" s="1"/>
  <c r="AA57" i="2"/>
  <c r="AB57" i="2" s="1"/>
  <c r="AA58" i="2"/>
  <c r="AB58" i="2" s="1"/>
  <c r="AA59" i="2"/>
  <c r="AB59" i="2" s="1"/>
  <c r="AA60" i="2"/>
  <c r="AB60" i="2" s="1"/>
  <c r="Y6" i="2"/>
  <c r="Z6" i="2" s="1"/>
  <c r="Y7" i="2"/>
  <c r="Z7" i="2" s="1"/>
  <c r="Y8" i="2"/>
  <c r="Z8" i="2" s="1"/>
  <c r="Y9" i="2"/>
  <c r="Z9" i="2" s="1"/>
  <c r="Y10" i="2"/>
  <c r="Z10" i="2" s="1"/>
  <c r="Y11" i="2"/>
  <c r="Z11" i="2" s="1"/>
  <c r="Y12" i="2"/>
  <c r="Z12" i="2" s="1"/>
  <c r="Y13" i="2"/>
  <c r="Z13" i="2" s="1"/>
  <c r="Y14" i="2"/>
  <c r="Z14" i="2" s="1"/>
  <c r="Y15" i="2"/>
  <c r="Z15" i="2" s="1"/>
  <c r="Y16" i="2"/>
  <c r="Z16" i="2" s="1"/>
  <c r="Y17" i="2"/>
  <c r="Z17" i="2" s="1"/>
  <c r="Y18" i="2"/>
  <c r="Z18" i="2" s="1"/>
  <c r="Y19" i="2"/>
  <c r="Z19" i="2" s="1"/>
  <c r="Y20" i="2"/>
  <c r="Z20" i="2" s="1"/>
  <c r="Y21" i="2"/>
  <c r="Z21" i="2" s="1"/>
  <c r="Y22" i="2"/>
  <c r="Z22" i="2" s="1"/>
  <c r="Y23" i="2"/>
  <c r="Z23" i="2" s="1"/>
  <c r="Y24" i="2"/>
  <c r="Z24" i="2" s="1"/>
  <c r="Y25" i="2"/>
  <c r="Z25" i="2" s="1"/>
  <c r="Y26" i="2"/>
  <c r="Z26" i="2" s="1"/>
  <c r="Y27" i="2"/>
  <c r="Z27" i="2" s="1"/>
  <c r="Y28" i="2"/>
  <c r="Z28" i="2" s="1"/>
  <c r="Y29" i="2"/>
  <c r="Z29" i="2" s="1"/>
  <c r="Y30" i="2"/>
  <c r="Z30" i="2" s="1"/>
  <c r="Y31" i="2"/>
  <c r="Z31" i="2" s="1"/>
  <c r="Y32" i="2"/>
  <c r="Z32" i="2" s="1"/>
  <c r="Y33" i="2"/>
  <c r="Z33" i="2" s="1"/>
  <c r="Y34" i="2"/>
  <c r="Z34" i="2" s="1"/>
  <c r="Y35" i="2"/>
  <c r="Z35" i="2" s="1"/>
  <c r="Y36" i="2"/>
  <c r="Z36" i="2" s="1"/>
  <c r="Y37" i="2"/>
  <c r="Z37" i="2" s="1"/>
  <c r="Y38" i="2"/>
  <c r="Z38" i="2" s="1"/>
  <c r="Y39" i="2"/>
  <c r="Z39" i="2" s="1"/>
  <c r="Y40" i="2"/>
  <c r="Z40" i="2" s="1"/>
  <c r="Y41" i="2"/>
  <c r="Z41" i="2" s="1"/>
  <c r="Y42" i="2"/>
  <c r="Z42" i="2" s="1"/>
  <c r="Y43" i="2"/>
  <c r="Z43" i="2" s="1"/>
  <c r="Y44" i="2"/>
  <c r="Z44" i="2" s="1"/>
  <c r="Y45" i="2"/>
  <c r="Z45" i="2" s="1"/>
  <c r="Y46" i="2"/>
  <c r="Z46" i="2" s="1"/>
  <c r="Y47" i="2"/>
  <c r="Z47" i="2" s="1"/>
  <c r="Y48" i="2"/>
  <c r="Z48" i="2" s="1"/>
  <c r="Y49" i="2"/>
  <c r="Z49" i="2" s="1"/>
  <c r="Y50" i="2"/>
  <c r="Z50" i="2" s="1"/>
  <c r="Y51" i="2"/>
  <c r="Z51" i="2" s="1"/>
  <c r="Y52" i="2"/>
  <c r="Z52" i="2" s="1"/>
  <c r="Y53" i="2"/>
  <c r="Z53" i="2" s="1"/>
  <c r="Y54" i="2"/>
  <c r="Z54" i="2" s="1"/>
  <c r="Y55" i="2"/>
  <c r="Z55" i="2" s="1"/>
  <c r="Y56" i="2"/>
  <c r="Z56" i="2" s="1"/>
  <c r="Y57" i="2"/>
  <c r="Z57" i="2" s="1"/>
  <c r="Y58" i="2"/>
  <c r="Z58" i="2" s="1"/>
  <c r="Y59" i="2"/>
  <c r="Z59" i="2" s="1"/>
  <c r="Y60" i="2"/>
  <c r="Z60" i="2" s="1"/>
  <c r="AC5" i="2"/>
  <c r="AD5" i="2" s="1"/>
  <c r="AE5" i="2"/>
  <c r="AF5" i="2" s="1"/>
  <c r="AG5" i="2"/>
  <c r="AH5" i="2" s="1"/>
  <c r="AI5" i="2"/>
  <c r="AJ5" i="2" s="1"/>
  <c r="AK5" i="2"/>
  <c r="AL5" i="2" s="1"/>
  <c r="AM5" i="2"/>
  <c r="AN5" i="2" s="1"/>
  <c r="AA5" i="2"/>
  <c r="AB5" i="2" s="1"/>
  <c r="Y5" i="2"/>
  <c r="Z5" i="2" s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5" i="2"/>
  <c r="J6" i="11"/>
  <c r="J7" i="11"/>
  <c r="J8" i="11"/>
  <c r="J9" i="11"/>
  <c r="J10" i="11"/>
  <c r="J11" i="11"/>
  <c r="J12" i="11"/>
  <c r="J13" i="11"/>
  <c r="J14" i="11"/>
  <c r="J15" i="11"/>
  <c r="J16" i="11"/>
  <c r="J5" i="11"/>
  <c r="J3" i="11"/>
  <c r="X5" i="2" l="1"/>
  <c r="W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5" i="2"/>
  <c r="R5" i="2"/>
  <c r="S5" i="2"/>
  <c r="T5" i="2"/>
  <c r="U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5" i="2"/>
  <c r="J3" i="2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6" i="2"/>
  <c r="M6" i="2" s="1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5" i="2"/>
  <c r="O12" i="2" l="1"/>
  <c r="N12" i="2"/>
  <c r="O11" i="2"/>
  <c r="N11" i="2"/>
  <c r="O10" i="2"/>
  <c r="N10" i="2"/>
  <c r="O9" i="2"/>
  <c r="N9" i="2"/>
  <c r="O8" i="2"/>
  <c r="N8" i="2"/>
  <c r="O7" i="2"/>
  <c r="N7" i="2"/>
  <c r="O6" i="2"/>
  <c r="N6" i="2"/>
  <c r="O13" i="2"/>
  <c r="N13" i="2"/>
  <c r="O14" i="2"/>
  <c r="N14" i="2"/>
  <c r="O15" i="2"/>
  <c r="N15" i="2"/>
  <c r="O16" i="2"/>
  <c r="N16" i="2"/>
  <c r="O17" i="2"/>
  <c r="N17" i="2"/>
  <c r="O18" i="2"/>
  <c r="N18" i="2"/>
  <c r="O19" i="2"/>
  <c r="N19" i="2"/>
  <c r="O20" i="2"/>
  <c r="N20" i="2"/>
  <c r="O21" i="2"/>
  <c r="N21" i="2"/>
  <c r="O22" i="2"/>
  <c r="N22" i="2"/>
  <c r="O23" i="2"/>
  <c r="N23" i="2"/>
  <c r="O24" i="2"/>
  <c r="N24" i="2"/>
  <c r="O25" i="2"/>
  <c r="N25" i="2"/>
  <c r="O26" i="2"/>
  <c r="N26" i="2"/>
  <c r="O27" i="2"/>
  <c r="N27" i="2"/>
  <c r="O28" i="2"/>
  <c r="N28" i="2"/>
  <c r="O29" i="2"/>
  <c r="N29" i="2"/>
  <c r="O30" i="2"/>
  <c r="N30" i="2"/>
  <c r="O31" i="2"/>
  <c r="N31" i="2"/>
  <c r="O32" i="2"/>
  <c r="N32" i="2"/>
  <c r="O33" i="2"/>
  <c r="N33" i="2"/>
  <c r="O34" i="2"/>
  <c r="N34" i="2"/>
  <c r="O35" i="2"/>
  <c r="N35" i="2"/>
  <c r="O36" i="2"/>
  <c r="N36" i="2"/>
  <c r="O37" i="2"/>
  <c r="N37" i="2"/>
  <c r="O38" i="2"/>
  <c r="N38" i="2"/>
  <c r="O39" i="2"/>
  <c r="N39" i="2"/>
  <c r="O40" i="2"/>
  <c r="N40" i="2"/>
  <c r="O41" i="2"/>
  <c r="N41" i="2"/>
  <c r="O42" i="2"/>
  <c r="N42" i="2"/>
  <c r="O43" i="2"/>
  <c r="N43" i="2"/>
  <c r="O44" i="2"/>
  <c r="N44" i="2"/>
  <c r="O45" i="2"/>
  <c r="N45" i="2"/>
  <c r="O46" i="2"/>
  <c r="N46" i="2"/>
  <c r="O47" i="2"/>
  <c r="N47" i="2"/>
  <c r="O48" i="2"/>
  <c r="N48" i="2"/>
  <c r="O49" i="2"/>
  <c r="N49" i="2"/>
  <c r="O50" i="2"/>
  <c r="N50" i="2"/>
  <c r="O51" i="2"/>
  <c r="N51" i="2"/>
  <c r="O52" i="2"/>
  <c r="N52" i="2"/>
  <c r="O53" i="2"/>
  <c r="N53" i="2"/>
  <c r="O54" i="2"/>
  <c r="N54" i="2"/>
  <c r="O55" i="2"/>
  <c r="N55" i="2"/>
  <c r="O56" i="2"/>
  <c r="N56" i="2"/>
  <c r="O57" i="2"/>
  <c r="N57" i="2"/>
  <c r="O58" i="2"/>
  <c r="N58" i="2"/>
  <c r="O59" i="2"/>
  <c r="N59" i="2"/>
  <c r="O60" i="2"/>
  <c r="N60" i="2"/>
  <c r="M5" i="2"/>
  <c r="B67" i="2"/>
  <c r="O5" i="2" l="1"/>
  <c r="N5" i="2"/>
</calcChain>
</file>

<file path=xl/sharedStrings.xml><?xml version="1.0" encoding="utf-8"?>
<sst xmlns="http://schemas.openxmlformats.org/spreadsheetml/2006/main" count="193" uniqueCount="122">
  <si>
    <t>GoÄ</t>
  </si>
  <si>
    <t>PatientInnenanzahl/Haus</t>
  </si>
  <si>
    <t>Leistung</t>
  </si>
  <si>
    <t>KH 1</t>
  </si>
  <si>
    <t>KH 2</t>
  </si>
  <si>
    <t>KH 3</t>
  </si>
  <si>
    <t>KH 4</t>
  </si>
  <si>
    <t>KH 5</t>
  </si>
  <si>
    <t>KH 6</t>
  </si>
  <si>
    <t>KH 7</t>
  </si>
  <si>
    <t>KH 8</t>
  </si>
  <si>
    <t>GESAMT</t>
  </si>
  <si>
    <t>GoÄ Punkte</t>
  </si>
  <si>
    <t>Kosten pro Leistung in €</t>
  </si>
  <si>
    <t>Kosten Gesamt</t>
  </si>
  <si>
    <t>Kosten Pro Patient</t>
  </si>
  <si>
    <t>Kosten im Schnitt</t>
  </si>
  <si>
    <t>Kosten KH 1</t>
  </si>
  <si>
    <t>Kosten KH 2</t>
  </si>
  <si>
    <t>Kosten KH 3</t>
  </si>
  <si>
    <t>Kosten KH 4</t>
  </si>
  <si>
    <t>Kosten KH 5</t>
  </si>
  <si>
    <t>Kosten KH 6</t>
  </si>
  <si>
    <t>Kosten pro Patient KH6</t>
  </si>
  <si>
    <t>Kosten KH 7</t>
  </si>
  <si>
    <t>Kosten KH 8</t>
  </si>
  <si>
    <t>Leistungen pro Patient KH 1</t>
  </si>
  <si>
    <t>Abweichung vom Schnitt</t>
  </si>
  <si>
    <t>Leistungen pro Patient KH 2</t>
  </si>
  <si>
    <t>Abweichung vom Schnitt2</t>
  </si>
  <si>
    <t>Leistungen pro Patient KH 3</t>
  </si>
  <si>
    <t>Abweichung vom Schnitt3</t>
  </si>
  <si>
    <t>Leistungen pro Patient KH 4</t>
  </si>
  <si>
    <t>Abweichung vom Schnitt4</t>
  </si>
  <si>
    <t>Leistungen pro Patient KH 5</t>
  </si>
  <si>
    <t>Abweichung vom Schnitt5</t>
  </si>
  <si>
    <t>Leistungen pro Patient KH 6</t>
  </si>
  <si>
    <t>Abweichung vom Schnitt6</t>
  </si>
  <si>
    <t>Leistungen pro Patient KH 7</t>
  </si>
  <si>
    <t>Abweichung vom Schnitt7</t>
  </si>
  <si>
    <t>Leistungen pro Patient KH 8</t>
  </si>
  <si>
    <t>Abweichung vom Schnitt8</t>
  </si>
  <si>
    <t>Leistungen Gesamt</t>
  </si>
  <si>
    <t>Blutbild</t>
  </si>
  <si>
    <t>Blutsenkung</t>
  </si>
  <si>
    <t>Prothrombinzeit</t>
  </si>
  <si>
    <t>INR F. PTZ</t>
  </si>
  <si>
    <t>Partielle Thromboplastinzeit</t>
  </si>
  <si>
    <t>Fibrinogen</t>
  </si>
  <si>
    <t>AT3</t>
  </si>
  <si>
    <t>Thrombotest</t>
  </si>
  <si>
    <t>Natrium</t>
  </si>
  <si>
    <t>Kalium</t>
  </si>
  <si>
    <t>Chlorid</t>
  </si>
  <si>
    <t>Calzium</t>
  </si>
  <si>
    <t>Phosphat im Serum</t>
  </si>
  <si>
    <t>Magnesium</t>
  </si>
  <si>
    <t xml:space="preserve">GOT </t>
  </si>
  <si>
    <t>GPT</t>
  </si>
  <si>
    <t>GGT</t>
  </si>
  <si>
    <t>Alkalische Phosphatase</t>
  </si>
  <si>
    <t>Cholinesterase</t>
  </si>
  <si>
    <t>Creatinkinase</t>
  </si>
  <si>
    <t>LDH</t>
  </si>
  <si>
    <t>Amylase</t>
  </si>
  <si>
    <t>Lipase im Serum</t>
  </si>
  <si>
    <t>Kreatinin</t>
  </si>
  <si>
    <t>Harnstoff</t>
  </si>
  <si>
    <t>Harnsäure</t>
  </si>
  <si>
    <t>Gesamtbilirubin</t>
  </si>
  <si>
    <t>Indirektes Bilirubin</t>
  </si>
  <si>
    <t>Direktes Bilirubin</t>
  </si>
  <si>
    <t>Troponin I</t>
  </si>
  <si>
    <t>Cholesterin</t>
  </si>
  <si>
    <t>Triglyceride</t>
  </si>
  <si>
    <t>HDL Cholesterin</t>
  </si>
  <si>
    <t>LDL Cholesterin</t>
  </si>
  <si>
    <t>Gesamteiweiß</t>
  </si>
  <si>
    <t>Glucose</t>
  </si>
  <si>
    <t>HBA1C Hitachi Vision</t>
  </si>
  <si>
    <t>CRP</t>
  </si>
  <si>
    <t>Albumin</t>
  </si>
  <si>
    <t>PSA</t>
  </si>
  <si>
    <t>freies PSA</t>
  </si>
  <si>
    <t>CEA</t>
  </si>
  <si>
    <t>CA 19-9</t>
  </si>
  <si>
    <t>freies T3</t>
  </si>
  <si>
    <t>freies T4</t>
  </si>
  <si>
    <t>TSH</t>
  </si>
  <si>
    <t>Brain Natriuretic Peptid</t>
  </si>
  <si>
    <t>HIV</t>
  </si>
  <si>
    <t>Blutgruppe komplett</t>
  </si>
  <si>
    <t>Rhesusfaktor</t>
  </si>
  <si>
    <t>Isoagglutinine</t>
  </si>
  <si>
    <t>Antikörpersuchtest Enzym</t>
  </si>
  <si>
    <t>Antikörpersuchtest LISS</t>
  </si>
  <si>
    <t>Antigennachweis Patient</t>
  </si>
  <si>
    <t>Harnstreifen</t>
  </si>
  <si>
    <t>Harnsediment</t>
  </si>
  <si>
    <t>Verhältnis Labor : Radiologie Gesamt</t>
  </si>
  <si>
    <t>Auf 1 radiologische Untersuchung folgen</t>
  </si>
  <si>
    <t>Untersuchungen</t>
  </si>
  <si>
    <t>Verhältnis Labor : Radiologie KH6</t>
  </si>
  <si>
    <t>Summe von Kosten KH 6</t>
  </si>
  <si>
    <t>Summe von Kosten im Schnitt</t>
  </si>
  <si>
    <t>Gesamtergebnis</t>
  </si>
  <si>
    <t>Frequente radiologische Leistungen:</t>
  </si>
  <si>
    <t>€</t>
  </si>
  <si>
    <t>Kosten</t>
  </si>
  <si>
    <t>Kosten Schnitt</t>
  </si>
  <si>
    <t>US Unterbauch transabdominell</t>
  </si>
  <si>
    <t>US Retroperitonaeum</t>
  </si>
  <si>
    <t>US Oberbauch</t>
  </si>
  <si>
    <t>Thorax p.a.</t>
  </si>
  <si>
    <t>Thorax seitlich</t>
  </si>
  <si>
    <t>US Weichteile</t>
  </si>
  <si>
    <t>US Subcutis/Muskulatur</t>
  </si>
  <si>
    <t>CT Unterbauch</t>
  </si>
  <si>
    <t>Abdomen nativ</t>
  </si>
  <si>
    <t>CT Retroperitonaeum</t>
  </si>
  <si>
    <t xml:space="preserve">CT Oberbauch </t>
  </si>
  <si>
    <t>US Kleines Becken der Frau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</si>
</sst>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164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2" fontId="0" fillId="0" borderId="0" xfId="0" applyNumberFormat="1"/>
    <xf numFmtId="2" fontId="0" fillId="0" borderId="1" xfId="0" applyNumberFormat="1" applyBorder="1"/>
    <xf numFmtId="2" fontId="0" fillId="0" borderId="3" xfId="0" applyNumberFormat="1" applyBorder="1"/>
    <xf numFmtId="0" fontId="0" fillId="0" borderId="3" xfId="0" applyBorder="1" applyAlignment="1">
      <alignment wrapText="1"/>
    </xf>
    <xf numFmtId="0" fontId="0" fillId="0" borderId="0" xfId="0" pivotButton="1"/>
    <xf numFmtId="9" fontId="0" fillId="0" borderId="0" xfId="0" applyNumberFormat="1"/>
    <xf numFmtId="0" fontId="0" fillId="6" borderId="1" xfId="0" applyFill="1" applyBorder="1"/>
  </cellXfs>
  <cellStyles count="1">
    <cellStyle name="Standard" xfId="0" builtinId="0"/>
  </cellStyles>
  <dxfs count="4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left style="thin">
          <color auto="1"/>
        </left>
      </border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Kosten KH 6 vs Durchschnitt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Laborleistungen!$O$4</c:f>
              <c:strCache>
                <c:ptCount val="1"/>
                <c:pt idx="0">
                  <c:v>Kosten im Schnitt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Laborleistungen!A5:A60</c:f>
              <c:strCache>
                <c:ptCount val="56"/>
                <c:pt idx="0">
                  <c:v>Blutbild</c:v>
                </c:pt>
                <c:pt idx="1">
                  <c:v>Blutsenkung</c:v>
                </c:pt>
                <c:pt idx="2">
                  <c:v>Prothrombinzeit</c:v>
                </c:pt>
                <c:pt idx="3">
                  <c:v>INR F. PTZ</c:v>
                </c:pt>
                <c:pt idx="4">
                  <c:v>Partielle Thromboplastinzeit</c:v>
                </c:pt>
                <c:pt idx="5">
                  <c:v>Fibrinogen</c:v>
                </c:pt>
                <c:pt idx="6">
                  <c:v>AT3</c:v>
                </c:pt>
                <c:pt idx="7">
                  <c:v>Thrombotest</c:v>
                </c:pt>
                <c:pt idx="8">
                  <c:v>Natrium</c:v>
                </c:pt>
                <c:pt idx="9">
                  <c:v>Kalium</c:v>
                </c:pt>
                <c:pt idx="10">
                  <c:v>Chlorid</c:v>
                </c:pt>
                <c:pt idx="11">
                  <c:v>Calzium</c:v>
                </c:pt>
                <c:pt idx="12">
                  <c:v>Phosphat im Serum</c:v>
                </c:pt>
                <c:pt idx="13">
                  <c:v>Magnesium</c:v>
                </c:pt>
                <c:pt idx="14">
                  <c:v>GOT </c:v>
                </c:pt>
                <c:pt idx="15">
                  <c:v>GPT</c:v>
                </c:pt>
                <c:pt idx="16">
                  <c:v>GGT</c:v>
                </c:pt>
                <c:pt idx="17">
                  <c:v>Alkalische Phosphatase</c:v>
                </c:pt>
                <c:pt idx="18">
                  <c:v>Cholinesterase</c:v>
                </c:pt>
                <c:pt idx="19">
                  <c:v>Creatinkinase</c:v>
                </c:pt>
                <c:pt idx="20">
                  <c:v>LDH</c:v>
                </c:pt>
                <c:pt idx="21">
                  <c:v>Amylase</c:v>
                </c:pt>
                <c:pt idx="22">
                  <c:v>Lipase im Serum</c:v>
                </c:pt>
                <c:pt idx="23">
                  <c:v>Kreatinin</c:v>
                </c:pt>
                <c:pt idx="24">
                  <c:v>Harnstoff</c:v>
                </c:pt>
                <c:pt idx="25">
                  <c:v>Harnsäure</c:v>
                </c:pt>
                <c:pt idx="26">
                  <c:v>Gesamtbilirubin</c:v>
                </c:pt>
                <c:pt idx="27">
                  <c:v>Indirektes Bilirubin</c:v>
                </c:pt>
                <c:pt idx="28">
                  <c:v>Direktes Bilirubin</c:v>
                </c:pt>
                <c:pt idx="29">
                  <c:v>Troponin I</c:v>
                </c:pt>
                <c:pt idx="30">
                  <c:v>Cholesterin</c:v>
                </c:pt>
                <c:pt idx="31">
                  <c:v>Triglyceride</c:v>
                </c:pt>
                <c:pt idx="32">
                  <c:v>HDL Cholesterin</c:v>
                </c:pt>
                <c:pt idx="33">
                  <c:v>LDL Cholesterin</c:v>
                </c:pt>
                <c:pt idx="34">
                  <c:v>Gesamteiweiß</c:v>
                </c:pt>
                <c:pt idx="35">
                  <c:v>Glucose</c:v>
                </c:pt>
                <c:pt idx="36">
                  <c:v>HBA1C Hitachi Vision</c:v>
                </c:pt>
                <c:pt idx="37">
                  <c:v>CRP</c:v>
                </c:pt>
                <c:pt idx="38">
                  <c:v>Albumin</c:v>
                </c:pt>
                <c:pt idx="39">
                  <c:v>PSA</c:v>
                </c:pt>
                <c:pt idx="40">
                  <c:v>freies PSA</c:v>
                </c:pt>
                <c:pt idx="41">
                  <c:v>CEA</c:v>
                </c:pt>
                <c:pt idx="42">
                  <c:v>CA 19-9</c:v>
                </c:pt>
                <c:pt idx="43">
                  <c:v>freies T3</c:v>
                </c:pt>
                <c:pt idx="44">
                  <c:v>freies T4</c:v>
                </c:pt>
                <c:pt idx="45">
                  <c:v>TSH</c:v>
                </c:pt>
                <c:pt idx="46">
                  <c:v>Brain Natriuretic Peptid</c:v>
                </c:pt>
                <c:pt idx="47">
                  <c:v>HIV</c:v>
                </c:pt>
                <c:pt idx="48">
                  <c:v>Blutgruppe komplett</c:v>
                </c:pt>
                <c:pt idx="49">
                  <c:v>Rhesusfaktor</c:v>
                </c:pt>
                <c:pt idx="50">
                  <c:v>Isoagglutinine</c:v>
                </c:pt>
                <c:pt idx="51">
                  <c:v>Antikörpersuchtest Enzym</c:v>
                </c:pt>
                <c:pt idx="52">
                  <c:v>Antikörpersuchtest LISS</c:v>
                </c:pt>
                <c:pt idx="53">
                  <c:v>Antigennachweis Patient</c:v>
                </c:pt>
                <c:pt idx="54">
                  <c:v>Harnstreifen</c:v>
                </c:pt>
                <c:pt idx="55">
                  <c:v>Harnsediment</c:v>
                </c:pt>
              </c:strCache>
            </c:strRef>
          </c:cat>
          <c:val>
            <c:numRef>
              <c:f>Laborleistungen!$O$5:$O$60</c:f>
              <c:numCache>
                <c:formatCode>#,##0.00\ "€"</c:formatCode>
                <c:ptCount val="56"/>
                <c:pt idx="0">
                  <c:v>296.82807524999998</c:v>
                </c:pt>
                <c:pt idx="1">
                  <c:v>57.121553999999996</c:v>
                </c:pt>
                <c:pt idx="2">
                  <c:v>217.48448812500001</c:v>
                </c:pt>
                <c:pt idx="3">
                  <c:v>0</c:v>
                </c:pt>
                <c:pt idx="4">
                  <c:v>217.48448812500001</c:v>
                </c:pt>
                <c:pt idx="5">
                  <c:v>119.48896500000001</c:v>
                </c:pt>
                <c:pt idx="6">
                  <c:v>48.888472875000005</c:v>
                </c:pt>
                <c:pt idx="7">
                  <c:v>9.8359818749999999</c:v>
                </c:pt>
                <c:pt idx="8">
                  <c:v>114.09738974999999</c:v>
                </c:pt>
                <c:pt idx="9">
                  <c:v>113.878812375</c:v>
                </c:pt>
                <c:pt idx="10">
                  <c:v>92.895384374999992</c:v>
                </c:pt>
                <c:pt idx="11">
                  <c:v>146.30112299999999</c:v>
                </c:pt>
                <c:pt idx="12">
                  <c:v>16.611880499999998</c:v>
                </c:pt>
                <c:pt idx="13">
                  <c:v>16.320443999999998</c:v>
                </c:pt>
                <c:pt idx="14">
                  <c:v>135.22653599999998</c:v>
                </c:pt>
                <c:pt idx="15">
                  <c:v>126.77487749999999</c:v>
                </c:pt>
                <c:pt idx="16">
                  <c:v>132.0207345</c:v>
                </c:pt>
                <c:pt idx="17">
                  <c:v>125.317695</c:v>
                </c:pt>
                <c:pt idx="18">
                  <c:v>111.62017949999999</c:v>
                </c:pt>
                <c:pt idx="19">
                  <c:v>34.098070499999999</c:v>
                </c:pt>
                <c:pt idx="20">
                  <c:v>114.5345445</c:v>
                </c:pt>
                <c:pt idx="21">
                  <c:v>99.817001250000004</c:v>
                </c:pt>
                <c:pt idx="22">
                  <c:v>99.08841000000001</c:v>
                </c:pt>
                <c:pt idx="23">
                  <c:v>152.4212895</c:v>
                </c:pt>
                <c:pt idx="24">
                  <c:v>139.88952</c:v>
                </c:pt>
                <c:pt idx="25">
                  <c:v>79.853600999999998</c:v>
                </c:pt>
                <c:pt idx="26">
                  <c:v>130.56355199999999</c:v>
                </c:pt>
                <c:pt idx="27">
                  <c:v>0</c:v>
                </c:pt>
                <c:pt idx="28">
                  <c:v>14.280388499999999</c:v>
                </c:pt>
                <c:pt idx="29">
                  <c:v>27.686467499999999</c:v>
                </c:pt>
                <c:pt idx="30">
                  <c:v>80.727910499999993</c:v>
                </c:pt>
                <c:pt idx="31">
                  <c:v>79.853600999999998</c:v>
                </c:pt>
                <c:pt idx="32">
                  <c:v>4.9544204999999994</c:v>
                </c:pt>
                <c:pt idx="33">
                  <c:v>4.6629839999999998</c:v>
                </c:pt>
                <c:pt idx="34">
                  <c:v>73.660575374999993</c:v>
                </c:pt>
                <c:pt idx="35">
                  <c:v>122.6947665</c:v>
                </c:pt>
                <c:pt idx="36">
                  <c:v>27.686467499999999</c:v>
                </c:pt>
                <c:pt idx="37">
                  <c:v>855.36612750000006</c:v>
                </c:pt>
                <c:pt idx="38">
                  <c:v>74.316307500000008</c:v>
                </c:pt>
                <c:pt idx="39">
                  <c:v>201.091185</c:v>
                </c:pt>
                <c:pt idx="40">
                  <c:v>34.972380000000001</c:v>
                </c:pt>
                <c:pt idx="41">
                  <c:v>41.893996874999999</c:v>
                </c:pt>
                <c:pt idx="42">
                  <c:v>41.529701250000002</c:v>
                </c:pt>
                <c:pt idx="43">
                  <c:v>56.465821875000003</c:v>
                </c:pt>
                <c:pt idx="44">
                  <c:v>60.108778125000001</c:v>
                </c:pt>
                <c:pt idx="45">
                  <c:v>479.04874687500001</c:v>
                </c:pt>
                <c:pt idx="46">
                  <c:v>18.214781250000001</c:v>
                </c:pt>
                <c:pt idx="47">
                  <c:v>101.41990200000001</c:v>
                </c:pt>
                <c:pt idx="48">
                  <c:v>55.372934999999998</c:v>
                </c:pt>
                <c:pt idx="49">
                  <c:v>64.698903000000001</c:v>
                </c:pt>
                <c:pt idx="50">
                  <c:v>19.234808999999998</c:v>
                </c:pt>
                <c:pt idx="51">
                  <c:v>41.529701250000002</c:v>
                </c:pt>
                <c:pt idx="52">
                  <c:v>87.430949999999996</c:v>
                </c:pt>
                <c:pt idx="53">
                  <c:v>48.087022500000003</c:v>
                </c:pt>
                <c:pt idx="54">
                  <c:v>61.456671937499991</c:v>
                </c:pt>
                <c:pt idx="55">
                  <c:v>53.551456875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7F7F-4114-BAB6-D79C7C7093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9"/>
        <c:axId val="33883656"/>
        <c:axId val="48762376"/>
      </c:barChart>
      <c:lineChart>
        <c:grouping val="standard"/>
        <c:varyColors val="0"/>
        <c:ser>
          <c:idx val="1"/>
          <c:order val="1"/>
          <c:tx>
            <c:strRef>
              <c:f>Laborleistungen!$U$4</c:f>
              <c:strCache>
                <c:ptCount val="1"/>
                <c:pt idx="0">
                  <c:v>Kosten KH 6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Laborleistungen!A5:A60</c:f>
              <c:strCache>
                <c:ptCount val="56"/>
                <c:pt idx="0">
                  <c:v>Blutbild</c:v>
                </c:pt>
                <c:pt idx="1">
                  <c:v>Blutsenkung</c:v>
                </c:pt>
                <c:pt idx="2">
                  <c:v>Prothrombinzeit</c:v>
                </c:pt>
                <c:pt idx="3">
                  <c:v>INR F. PTZ</c:v>
                </c:pt>
                <c:pt idx="4">
                  <c:v>Partielle Thromboplastinzeit</c:v>
                </c:pt>
                <c:pt idx="5">
                  <c:v>Fibrinogen</c:v>
                </c:pt>
                <c:pt idx="6">
                  <c:v>AT3</c:v>
                </c:pt>
                <c:pt idx="7">
                  <c:v>Thrombotest</c:v>
                </c:pt>
                <c:pt idx="8">
                  <c:v>Natrium</c:v>
                </c:pt>
                <c:pt idx="9">
                  <c:v>Kalium</c:v>
                </c:pt>
                <c:pt idx="10">
                  <c:v>Chlorid</c:v>
                </c:pt>
                <c:pt idx="11">
                  <c:v>Calzium</c:v>
                </c:pt>
                <c:pt idx="12">
                  <c:v>Phosphat im Serum</c:v>
                </c:pt>
                <c:pt idx="13">
                  <c:v>Magnesium</c:v>
                </c:pt>
                <c:pt idx="14">
                  <c:v>GOT </c:v>
                </c:pt>
                <c:pt idx="15">
                  <c:v>GPT</c:v>
                </c:pt>
                <c:pt idx="16">
                  <c:v>GGT</c:v>
                </c:pt>
                <c:pt idx="17">
                  <c:v>Alkalische Phosphatase</c:v>
                </c:pt>
                <c:pt idx="18">
                  <c:v>Cholinesterase</c:v>
                </c:pt>
                <c:pt idx="19">
                  <c:v>Creatinkinase</c:v>
                </c:pt>
                <c:pt idx="20">
                  <c:v>LDH</c:v>
                </c:pt>
                <c:pt idx="21">
                  <c:v>Amylase</c:v>
                </c:pt>
                <c:pt idx="22">
                  <c:v>Lipase im Serum</c:v>
                </c:pt>
                <c:pt idx="23">
                  <c:v>Kreatinin</c:v>
                </c:pt>
                <c:pt idx="24">
                  <c:v>Harnstoff</c:v>
                </c:pt>
                <c:pt idx="25">
                  <c:v>Harnsäure</c:v>
                </c:pt>
                <c:pt idx="26">
                  <c:v>Gesamtbilirubin</c:v>
                </c:pt>
                <c:pt idx="27">
                  <c:v>Indirektes Bilirubin</c:v>
                </c:pt>
                <c:pt idx="28">
                  <c:v>Direktes Bilirubin</c:v>
                </c:pt>
                <c:pt idx="29">
                  <c:v>Troponin I</c:v>
                </c:pt>
                <c:pt idx="30">
                  <c:v>Cholesterin</c:v>
                </c:pt>
                <c:pt idx="31">
                  <c:v>Triglyceride</c:v>
                </c:pt>
                <c:pt idx="32">
                  <c:v>HDL Cholesterin</c:v>
                </c:pt>
                <c:pt idx="33">
                  <c:v>LDL Cholesterin</c:v>
                </c:pt>
                <c:pt idx="34">
                  <c:v>Gesamteiweiß</c:v>
                </c:pt>
                <c:pt idx="35">
                  <c:v>Glucose</c:v>
                </c:pt>
                <c:pt idx="36">
                  <c:v>HBA1C Hitachi Vision</c:v>
                </c:pt>
                <c:pt idx="37">
                  <c:v>CRP</c:v>
                </c:pt>
                <c:pt idx="38">
                  <c:v>Albumin</c:v>
                </c:pt>
                <c:pt idx="39">
                  <c:v>PSA</c:v>
                </c:pt>
                <c:pt idx="40">
                  <c:v>freies PSA</c:v>
                </c:pt>
                <c:pt idx="41">
                  <c:v>CEA</c:v>
                </c:pt>
                <c:pt idx="42">
                  <c:v>CA 19-9</c:v>
                </c:pt>
                <c:pt idx="43">
                  <c:v>freies T3</c:v>
                </c:pt>
                <c:pt idx="44">
                  <c:v>freies T4</c:v>
                </c:pt>
                <c:pt idx="45">
                  <c:v>TSH</c:v>
                </c:pt>
                <c:pt idx="46">
                  <c:v>Brain Natriuretic Peptid</c:v>
                </c:pt>
                <c:pt idx="47">
                  <c:v>HIV</c:v>
                </c:pt>
                <c:pt idx="48">
                  <c:v>Blutgruppe komplett</c:v>
                </c:pt>
                <c:pt idx="49">
                  <c:v>Rhesusfaktor</c:v>
                </c:pt>
                <c:pt idx="50">
                  <c:v>Isoagglutinine</c:v>
                </c:pt>
                <c:pt idx="51">
                  <c:v>Antikörpersuchtest Enzym</c:v>
                </c:pt>
                <c:pt idx="52">
                  <c:v>Antikörpersuchtest LISS</c:v>
                </c:pt>
                <c:pt idx="53">
                  <c:v>Antigennachweis Patient</c:v>
                </c:pt>
                <c:pt idx="54">
                  <c:v>Harnstreifen</c:v>
                </c:pt>
                <c:pt idx="55">
                  <c:v>Harnsediment</c:v>
                </c:pt>
              </c:strCache>
            </c:strRef>
          </c:cat>
          <c:val>
            <c:numRef>
              <c:f>Laborleistungen!$U$5:$U$60</c:f>
              <c:numCache>
                <c:formatCode>#,##0.00\ "€"</c:formatCode>
                <c:ptCount val="56"/>
                <c:pt idx="0">
                  <c:v>360.21551399999998</c:v>
                </c:pt>
                <c:pt idx="1">
                  <c:v>20.983428</c:v>
                </c:pt>
                <c:pt idx="2">
                  <c:v>356.718276</c:v>
                </c:pt>
                <c:pt idx="3">
                  <c:v>0</c:v>
                </c:pt>
                <c:pt idx="4">
                  <c:v>356.718276</c:v>
                </c:pt>
                <c:pt idx="5">
                  <c:v>160.87294799999998</c:v>
                </c:pt>
                <c:pt idx="6">
                  <c:v>27.977903999999999</c:v>
                </c:pt>
                <c:pt idx="7">
                  <c:v>0</c:v>
                </c:pt>
                <c:pt idx="8">
                  <c:v>342.72932399999996</c:v>
                </c:pt>
                <c:pt idx="9">
                  <c:v>342.72932399999996</c:v>
                </c:pt>
                <c:pt idx="10">
                  <c:v>311.25418200000001</c:v>
                </c:pt>
                <c:pt idx="11">
                  <c:v>286.77351599999997</c:v>
                </c:pt>
                <c:pt idx="12">
                  <c:v>185.35361399999999</c:v>
                </c:pt>
                <c:pt idx="13">
                  <c:v>185.35361399999999</c:v>
                </c:pt>
                <c:pt idx="14">
                  <c:v>195.84532799999999</c:v>
                </c:pt>
                <c:pt idx="15">
                  <c:v>220.32599399999998</c:v>
                </c:pt>
                <c:pt idx="16">
                  <c:v>185.35361399999999</c:v>
                </c:pt>
                <c:pt idx="17">
                  <c:v>94.425426000000002</c:v>
                </c:pt>
                <c:pt idx="18">
                  <c:v>150.38123400000001</c:v>
                </c:pt>
                <c:pt idx="19">
                  <c:v>66.447521999999992</c:v>
                </c:pt>
                <c:pt idx="20">
                  <c:v>87.430949999999996</c:v>
                </c:pt>
                <c:pt idx="21">
                  <c:v>153.87847199999999</c:v>
                </c:pt>
                <c:pt idx="22">
                  <c:v>150.38123400000001</c:v>
                </c:pt>
                <c:pt idx="23">
                  <c:v>339.23208599999998</c:v>
                </c:pt>
                <c:pt idx="24">
                  <c:v>318.24865799999998</c:v>
                </c:pt>
                <c:pt idx="25">
                  <c:v>195.84532799999999</c:v>
                </c:pt>
                <c:pt idx="26">
                  <c:v>174.86189999999999</c:v>
                </c:pt>
                <c:pt idx="27">
                  <c:v>0</c:v>
                </c:pt>
                <c:pt idx="28">
                  <c:v>41.966856</c:v>
                </c:pt>
                <c:pt idx="29">
                  <c:v>48.961331999999999</c:v>
                </c:pt>
                <c:pt idx="30">
                  <c:v>13.988951999999999</c:v>
                </c:pt>
                <c:pt idx="31">
                  <c:v>13.988951999999999</c:v>
                </c:pt>
                <c:pt idx="32">
                  <c:v>13.988951999999999</c:v>
                </c:pt>
                <c:pt idx="33">
                  <c:v>13.988951999999999</c:v>
                </c:pt>
                <c:pt idx="34">
                  <c:v>164.37018599999999</c:v>
                </c:pt>
                <c:pt idx="35">
                  <c:v>269.28732600000001</c:v>
                </c:pt>
                <c:pt idx="36">
                  <c:v>0</c:v>
                </c:pt>
                <c:pt idx="37">
                  <c:v>328.74037199999998</c:v>
                </c:pt>
                <c:pt idx="38">
                  <c:v>55.955807999999998</c:v>
                </c:pt>
                <c:pt idx="39">
                  <c:v>20.983428</c:v>
                </c:pt>
                <c:pt idx="40">
                  <c:v>13.988951999999999</c:v>
                </c:pt>
                <c:pt idx="41">
                  <c:v>3.4972379999999998</c:v>
                </c:pt>
                <c:pt idx="42">
                  <c:v>3.4972379999999998</c:v>
                </c:pt>
                <c:pt idx="43">
                  <c:v>3.4972379999999998</c:v>
                </c:pt>
                <c:pt idx="44">
                  <c:v>10.491714</c:v>
                </c:pt>
                <c:pt idx="45">
                  <c:v>13.988951999999999</c:v>
                </c:pt>
                <c:pt idx="46">
                  <c:v>0</c:v>
                </c:pt>
                <c:pt idx="47">
                  <c:v>0</c:v>
                </c:pt>
                <c:pt idx="48">
                  <c:v>115.40885399999999</c:v>
                </c:pt>
                <c:pt idx="49">
                  <c:v>111.911616</c:v>
                </c:pt>
                <c:pt idx="50">
                  <c:v>48.961331999999999</c:v>
                </c:pt>
                <c:pt idx="51">
                  <c:v>83.933712</c:v>
                </c:pt>
                <c:pt idx="52">
                  <c:v>83.933712</c:v>
                </c:pt>
                <c:pt idx="53">
                  <c:v>52.458569999999995</c:v>
                </c:pt>
                <c:pt idx="54">
                  <c:v>6.9944759999999997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7F7F-4114-BAB6-D79C7C709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83656"/>
        <c:axId val="48762376"/>
      </c:lineChart>
      <c:catAx>
        <c:axId val="3388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2376"/>
        <c:crosses val="autoZero"/>
        <c:auto val="1"/>
        <c:lblAlgn val="ctr"/>
        <c:lblOffset val="100"/>
        <c:noMultiLvlLbl val="0"/>
      </c:catAx>
      <c:valAx>
        <c:axId val="487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365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Leistungen pro Patient KH 6 vs Gesamt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Laborleistungen!$AI$4</c:f>
              <c:strCache>
                <c:ptCount val="1"/>
                <c:pt idx="0">
                  <c:v>Leistungen pro Patient KH 6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Laborleistungen!$A$5:$A$60</c:f>
              <c:strCache>
                <c:ptCount val="56"/>
                <c:pt idx="0">
                  <c:v>Blutbild</c:v>
                </c:pt>
                <c:pt idx="1">
                  <c:v>Blutsenkung</c:v>
                </c:pt>
                <c:pt idx="2">
                  <c:v>Prothrombinzeit</c:v>
                </c:pt>
                <c:pt idx="3">
                  <c:v>INR F. PTZ</c:v>
                </c:pt>
                <c:pt idx="4">
                  <c:v>Partielle Thromboplastinzeit</c:v>
                </c:pt>
                <c:pt idx="5">
                  <c:v>Fibrinogen</c:v>
                </c:pt>
                <c:pt idx="6">
                  <c:v>AT3</c:v>
                </c:pt>
                <c:pt idx="7">
                  <c:v>Thrombotest</c:v>
                </c:pt>
                <c:pt idx="8">
                  <c:v>Natrium</c:v>
                </c:pt>
                <c:pt idx="9">
                  <c:v>Kalium</c:v>
                </c:pt>
                <c:pt idx="10">
                  <c:v>Chlorid</c:v>
                </c:pt>
                <c:pt idx="11">
                  <c:v>Calzium</c:v>
                </c:pt>
                <c:pt idx="12">
                  <c:v>Phosphat im Serum</c:v>
                </c:pt>
                <c:pt idx="13">
                  <c:v>Magnesium</c:v>
                </c:pt>
                <c:pt idx="14">
                  <c:v>GOT </c:v>
                </c:pt>
                <c:pt idx="15">
                  <c:v>GPT</c:v>
                </c:pt>
                <c:pt idx="16">
                  <c:v>GGT</c:v>
                </c:pt>
                <c:pt idx="17">
                  <c:v>Alkalische Phosphatase</c:v>
                </c:pt>
                <c:pt idx="18">
                  <c:v>Cholinesterase</c:v>
                </c:pt>
                <c:pt idx="19">
                  <c:v>Creatinkinase</c:v>
                </c:pt>
                <c:pt idx="20">
                  <c:v>LDH</c:v>
                </c:pt>
                <c:pt idx="21">
                  <c:v>Amylase</c:v>
                </c:pt>
                <c:pt idx="22">
                  <c:v>Lipase im Serum</c:v>
                </c:pt>
                <c:pt idx="23">
                  <c:v>Kreatinin</c:v>
                </c:pt>
                <c:pt idx="24">
                  <c:v>Harnstoff</c:v>
                </c:pt>
                <c:pt idx="25">
                  <c:v>Harnsäure</c:v>
                </c:pt>
                <c:pt idx="26">
                  <c:v>Gesamtbilirubin</c:v>
                </c:pt>
                <c:pt idx="27">
                  <c:v>Indirektes Bilirubin</c:v>
                </c:pt>
                <c:pt idx="28">
                  <c:v>Direktes Bilirubin</c:v>
                </c:pt>
                <c:pt idx="29">
                  <c:v>Troponin I</c:v>
                </c:pt>
                <c:pt idx="30">
                  <c:v>Cholesterin</c:v>
                </c:pt>
                <c:pt idx="31">
                  <c:v>Triglyceride</c:v>
                </c:pt>
                <c:pt idx="32">
                  <c:v>HDL Cholesterin</c:v>
                </c:pt>
                <c:pt idx="33">
                  <c:v>LDL Cholesterin</c:v>
                </c:pt>
                <c:pt idx="34">
                  <c:v>Gesamteiweiß</c:v>
                </c:pt>
                <c:pt idx="35">
                  <c:v>Glucose</c:v>
                </c:pt>
                <c:pt idx="36">
                  <c:v>HBA1C Hitachi Vision</c:v>
                </c:pt>
                <c:pt idx="37">
                  <c:v>CRP</c:v>
                </c:pt>
                <c:pt idx="38">
                  <c:v>Albumin</c:v>
                </c:pt>
                <c:pt idx="39">
                  <c:v>PSA</c:v>
                </c:pt>
                <c:pt idx="40">
                  <c:v>freies PSA</c:v>
                </c:pt>
                <c:pt idx="41">
                  <c:v>CEA</c:v>
                </c:pt>
                <c:pt idx="42">
                  <c:v>CA 19-9</c:v>
                </c:pt>
                <c:pt idx="43">
                  <c:v>freies T3</c:v>
                </c:pt>
                <c:pt idx="44">
                  <c:v>freies T4</c:v>
                </c:pt>
                <c:pt idx="45">
                  <c:v>TSH</c:v>
                </c:pt>
                <c:pt idx="46">
                  <c:v>Brain Natriuretic Peptid</c:v>
                </c:pt>
                <c:pt idx="47">
                  <c:v>HIV</c:v>
                </c:pt>
                <c:pt idx="48">
                  <c:v>Blutgruppe komplett</c:v>
                </c:pt>
                <c:pt idx="49">
                  <c:v>Rhesusfaktor</c:v>
                </c:pt>
                <c:pt idx="50">
                  <c:v>Isoagglutinine</c:v>
                </c:pt>
                <c:pt idx="51">
                  <c:v>Antikörpersuchtest Enzym</c:v>
                </c:pt>
                <c:pt idx="52">
                  <c:v>Antikörpersuchtest LISS</c:v>
                </c:pt>
                <c:pt idx="53">
                  <c:v>Antigennachweis Patient</c:v>
                </c:pt>
                <c:pt idx="54">
                  <c:v>Harnstreifen</c:v>
                </c:pt>
                <c:pt idx="55">
                  <c:v>Harnsediment</c:v>
                </c:pt>
              </c:strCache>
            </c:strRef>
          </c:cat>
          <c:val>
            <c:numRef>
              <c:f>Laborleistungen!$AI$5:$AI$60</c:f>
              <c:numCache>
                <c:formatCode>0.00</c:formatCode>
                <c:ptCount val="56"/>
                <c:pt idx="0">
                  <c:v>0.75182481751824815</c:v>
                </c:pt>
                <c:pt idx="1">
                  <c:v>4.3795620437956206E-2</c:v>
                </c:pt>
                <c:pt idx="2">
                  <c:v>0.74452554744525545</c:v>
                </c:pt>
                <c:pt idx="3">
                  <c:v>0</c:v>
                </c:pt>
                <c:pt idx="4">
                  <c:v>0.74452554744525545</c:v>
                </c:pt>
                <c:pt idx="5">
                  <c:v>0.33576642335766421</c:v>
                </c:pt>
                <c:pt idx="6">
                  <c:v>5.8394160583941604E-2</c:v>
                </c:pt>
                <c:pt idx="7">
                  <c:v>0</c:v>
                </c:pt>
                <c:pt idx="8">
                  <c:v>0.71532846715328469</c:v>
                </c:pt>
                <c:pt idx="9">
                  <c:v>0.71532846715328469</c:v>
                </c:pt>
                <c:pt idx="10">
                  <c:v>0.64963503649635035</c:v>
                </c:pt>
                <c:pt idx="11">
                  <c:v>0.59854014598540151</c:v>
                </c:pt>
                <c:pt idx="12">
                  <c:v>0.38686131386861317</c:v>
                </c:pt>
                <c:pt idx="13">
                  <c:v>0.38686131386861317</c:v>
                </c:pt>
                <c:pt idx="14">
                  <c:v>0.40875912408759124</c:v>
                </c:pt>
                <c:pt idx="15">
                  <c:v>0.45985401459854014</c:v>
                </c:pt>
                <c:pt idx="16">
                  <c:v>0.38686131386861317</c:v>
                </c:pt>
                <c:pt idx="17">
                  <c:v>0.19708029197080293</c:v>
                </c:pt>
                <c:pt idx="18">
                  <c:v>0.31386861313868614</c:v>
                </c:pt>
                <c:pt idx="19">
                  <c:v>0.13868613138686131</c:v>
                </c:pt>
                <c:pt idx="20">
                  <c:v>0.18248175182481752</c:v>
                </c:pt>
                <c:pt idx="21">
                  <c:v>0.32116788321167883</c:v>
                </c:pt>
                <c:pt idx="22">
                  <c:v>0.31386861313868614</c:v>
                </c:pt>
                <c:pt idx="23">
                  <c:v>0.70802919708029199</c:v>
                </c:pt>
                <c:pt idx="24">
                  <c:v>0.66423357664233573</c:v>
                </c:pt>
                <c:pt idx="25">
                  <c:v>0.40875912408759124</c:v>
                </c:pt>
                <c:pt idx="26">
                  <c:v>0.36496350364963503</c:v>
                </c:pt>
                <c:pt idx="27">
                  <c:v>0</c:v>
                </c:pt>
                <c:pt idx="28">
                  <c:v>8.7591240875912413E-2</c:v>
                </c:pt>
                <c:pt idx="29">
                  <c:v>0.10218978102189781</c:v>
                </c:pt>
                <c:pt idx="30">
                  <c:v>2.9197080291970802E-2</c:v>
                </c:pt>
                <c:pt idx="31">
                  <c:v>2.9197080291970802E-2</c:v>
                </c:pt>
                <c:pt idx="32">
                  <c:v>2.9197080291970802E-2</c:v>
                </c:pt>
                <c:pt idx="33">
                  <c:v>2.9197080291970802E-2</c:v>
                </c:pt>
                <c:pt idx="34">
                  <c:v>0.34306569343065696</c:v>
                </c:pt>
                <c:pt idx="35">
                  <c:v>0.56204379562043794</c:v>
                </c:pt>
                <c:pt idx="36">
                  <c:v>0</c:v>
                </c:pt>
                <c:pt idx="37">
                  <c:v>0.68613138686131392</c:v>
                </c:pt>
                <c:pt idx="38">
                  <c:v>0.11678832116788321</c:v>
                </c:pt>
                <c:pt idx="39">
                  <c:v>4.3795620437956206E-2</c:v>
                </c:pt>
                <c:pt idx="40">
                  <c:v>2.9197080291970802E-2</c:v>
                </c:pt>
                <c:pt idx="41">
                  <c:v>7.2992700729927005E-3</c:v>
                </c:pt>
                <c:pt idx="42">
                  <c:v>7.2992700729927005E-3</c:v>
                </c:pt>
                <c:pt idx="43">
                  <c:v>7.2992700729927005E-3</c:v>
                </c:pt>
                <c:pt idx="44">
                  <c:v>2.1897810218978103E-2</c:v>
                </c:pt>
                <c:pt idx="45">
                  <c:v>2.9197080291970802E-2</c:v>
                </c:pt>
                <c:pt idx="46">
                  <c:v>0</c:v>
                </c:pt>
                <c:pt idx="47">
                  <c:v>0</c:v>
                </c:pt>
                <c:pt idx="48">
                  <c:v>0.24087591240875914</c:v>
                </c:pt>
                <c:pt idx="49">
                  <c:v>0.23357664233576642</c:v>
                </c:pt>
                <c:pt idx="50">
                  <c:v>0.10218978102189781</c:v>
                </c:pt>
                <c:pt idx="51">
                  <c:v>0.17518248175182483</c:v>
                </c:pt>
                <c:pt idx="52">
                  <c:v>0.17518248175182483</c:v>
                </c:pt>
                <c:pt idx="53">
                  <c:v>0.10948905109489052</c:v>
                </c:pt>
                <c:pt idx="54">
                  <c:v>1.4598540145985401E-2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4-4742-89F7-8FB33B630031}"/>
            </c:ext>
          </c:extLst>
        </c:ser>
        <c:ser>
          <c:idx val="2"/>
          <c:order val="1"/>
          <c:tx>
            <c:strRef>
              <c:f>Laborleistungen!$AO$4</c:f>
              <c:strCache>
                <c:ptCount val="1"/>
                <c:pt idx="0">
                  <c:v>Leistungen Gesamt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Laborleistungen!$A$5:$A$60</c:f>
              <c:strCache>
                <c:ptCount val="56"/>
                <c:pt idx="0">
                  <c:v>Blutbild</c:v>
                </c:pt>
                <c:pt idx="1">
                  <c:v>Blutsenkung</c:v>
                </c:pt>
                <c:pt idx="2">
                  <c:v>Prothrombinzeit</c:v>
                </c:pt>
                <c:pt idx="3">
                  <c:v>INR F. PTZ</c:v>
                </c:pt>
                <c:pt idx="4">
                  <c:v>Partielle Thromboplastinzeit</c:v>
                </c:pt>
                <c:pt idx="5">
                  <c:v>Fibrinogen</c:v>
                </c:pt>
                <c:pt idx="6">
                  <c:v>AT3</c:v>
                </c:pt>
                <c:pt idx="7">
                  <c:v>Thrombotest</c:v>
                </c:pt>
                <c:pt idx="8">
                  <c:v>Natrium</c:v>
                </c:pt>
                <c:pt idx="9">
                  <c:v>Kalium</c:v>
                </c:pt>
                <c:pt idx="10">
                  <c:v>Chlorid</c:v>
                </c:pt>
                <c:pt idx="11">
                  <c:v>Calzium</c:v>
                </c:pt>
                <c:pt idx="12">
                  <c:v>Phosphat im Serum</c:v>
                </c:pt>
                <c:pt idx="13">
                  <c:v>Magnesium</c:v>
                </c:pt>
                <c:pt idx="14">
                  <c:v>GOT </c:v>
                </c:pt>
                <c:pt idx="15">
                  <c:v>GPT</c:v>
                </c:pt>
                <c:pt idx="16">
                  <c:v>GGT</c:v>
                </c:pt>
                <c:pt idx="17">
                  <c:v>Alkalische Phosphatase</c:v>
                </c:pt>
                <c:pt idx="18">
                  <c:v>Cholinesterase</c:v>
                </c:pt>
                <c:pt idx="19">
                  <c:v>Creatinkinase</c:v>
                </c:pt>
                <c:pt idx="20">
                  <c:v>LDH</c:v>
                </c:pt>
                <c:pt idx="21">
                  <c:v>Amylase</c:v>
                </c:pt>
                <c:pt idx="22">
                  <c:v>Lipase im Serum</c:v>
                </c:pt>
                <c:pt idx="23">
                  <c:v>Kreatinin</c:v>
                </c:pt>
                <c:pt idx="24">
                  <c:v>Harnstoff</c:v>
                </c:pt>
                <c:pt idx="25">
                  <c:v>Harnsäure</c:v>
                </c:pt>
                <c:pt idx="26">
                  <c:v>Gesamtbilirubin</c:v>
                </c:pt>
                <c:pt idx="27">
                  <c:v>Indirektes Bilirubin</c:v>
                </c:pt>
                <c:pt idx="28">
                  <c:v>Direktes Bilirubin</c:v>
                </c:pt>
                <c:pt idx="29">
                  <c:v>Troponin I</c:v>
                </c:pt>
                <c:pt idx="30">
                  <c:v>Cholesterin</c:v>
                </c:pt>
                <c:pt idx="31">
                  <c:v>Triglyceride</c:v>
                </c:pt>
                <c:pt idx="32">
                  <c:v>HDL Cholesterin</c:v>
                </c:pt>
                <c:pt idx="33">
                  <c:v>LDL Cholesterin</c:v>
                </c:pt>
                <c:pt idx="34">
                  <c:v>Gesamteiweiß</c:v>
                </c:pt>
                <c:pt idx="35">
                  <c:v>Glucose</c:v>
                </c:pt>
                <c:pt idx="36">
                  <c:v>HBA1C Hitachi Vision</c:v>
                </c:pt>
                <c:pt idx="37">
                  <c:v>CRP</c:v>
                </c:pt>
                <c:pt idx="38">
                  <c:v>Albumin</c:v>
                </c:pt>
                <c:pt idx="39">
                  <c:v>PSA</c:v>
                </c:pt>
                <c:pt idx="40">
                  <c:v>freies PSA</c:v>
                </c:pt>
                <c:pt idx="41">
                  <c:v>CEA</c:v>
                </c:pt>
                <c:pt idx="42">
                  <c:v>CA 19-9</c:v>
                </c:pt>
                <c:pt idx="43">
                  <c:v>freies T3</c:v>
                </c:pt>
                <c:pt idx="44">
                  <c:v>freies T4</c:v>
                </c:pt>
                <c:pt idx="45">
                  <c:v>TSH</c:v>
                </c:pt>
                <c:pt idx="46">
                  <c:v>Brain Natriuretic Peptid</c:v>
                </c:pt>
                <c:pt idx="47">
                  <c:v>HIV</c:v>
                </c:pt>
                <c:pt idx="48">
                  <c:v>Blutgruppe komplett</c:v>
                </c:pt>
                <c:pt idx="49">
                  <c:v>Rhesusfaktor</c:v>
                </c:pt>
                <c:pt idx="50">
                  <c:v>Isoagglutinine</c:v>
                </c:pt>
                <c:pt idx="51">
                  <c:v>Antikörpersuchtest Enzym</c:v>
                </c:pt>
                <c:pt idx="52">
                  <c:v>Antikörpersuchtest LISS</c:v>
                </c:pt>
                <c:pt idx="53">
                  <c:v>Antigennachweis Patient</c:v>
                </c:pt>
                <c:pt idx="54">
                  <c:v>Harnstreifen</c:v>
                </c:pt>
                <c:pt idx="55">
                  <c:v>Harnsediment</c:v>
                </c:pt>
              </c:strCache>
            </c:strRef>
          </c:cat>
          <c:val>
            <c:numRef>
              <c:f>Laborleistungen!$AO$5:$AO$60</c:f>
              <c:numCache>
                <c:formatCode>0.00</c:formatCode>
                <c:ptCount val="56"/>
                <c:pt idx="0">
                  <c:v>1.1223140495867769</c:v>
                </c:pt>
                <c:pt idx="1">
                  <c:v>0.32396694214876032</c:v>
                </c:pt>
                <c:pt idx="2">
                  <c:v>0.98677685950413219</c:v>
                </c:pt>
                <c:pt idx="3">
                  <c:v>0.42314049586776858</c:v>
                </c:pt>
                <c:pt idx="4">
                  <c:v>0.98677685950413219</c:v>
                </c:pt>
                <c:pt idx="5">
                  <c:v>0.27107438016528923</c:v>
                </c:pt>
                <c:pt idx="6">
                  <c:v>0.10082644628099173</c:v>
                </c:pt>
                <c:pt idx="7">
                  <c:v>4.4628099173553717E-2</c:v>
                </c:pt>
                <c:pt idx="8">
                  <c:v>0.86280991735537194</c:v>
                </c:pt>
                <c:pt idx="9">
                  <c:v>0.8611570247933884</c:v>
                </c:pt>
                <c:pt idx="10">
                  <c:v>0.7024793388429752</c:v>
                </c:pt>
                <c:pt idx="11">
                  <c:v>0.82975206611570251</c:v>
                </c:pt>
                <c:pt idx="12">
                  <c:v>9.4214876033057851E-2</c:v>
                </c:pt>
                <c:pt idx="13">
                  <c:v>9.2561983471074374E-2</c:v>
                </c:pt>
                <c:pt idx="14">
                  <c:v>0.76694214876033062</c:v>
                </c:pt>
                <c:pt idx="15">
                  <c:v>0.71900826446280997</c:v>
                </c:pt>
                <c:pt idx="16">
                  <c:v>0.74876033057851243</c:v>
                </c:pt>
                <c:pt idx="17">
                  <c:v>0.71074380165289253</c:v>
                </c:pt>
                <c:pt idx="18">
                  <c:v>0.6330578512396694</c:v>
                </c:pt>
                <c:pt idx="19">
                  <c:v>0.1933884297520661</c:v>
                </c:pt>
                <c:pt idx="20">
                  <c:v>0.64958677685950417</c:v>
                </c:pt>
                <c:pt idx="21">
                  <c:v>0.45289256198347105</c:v>
                </c:pt>
                <c:pt idx="22">
                  <c:v>0.44958677685950416</c:v>
                </c:pt>
                <c:pt idx="23">
                  <c:v>0.86446280991735536</c:v>
                </c:pt>
                <c:pt idx="24">
                  <c:v>0.79338842975206614</c:v>
                </c:pt>
                <c:pt idx="25">
                  <c:v>0.45289256198347105</c:v>
                </c:pt>
                <c:pt idx="26">
                  <c:v>0.740495867768595</c:v>
                </c:pt>
                <c:pt idx="27">
                  <c:v>2.6446280991735537E-2</c:v>
                </c:pt>
                <c:pt idx="28">
                  <c:v>4.6280991735537187E-2</c:v>
                </c:pt>
                <c:pt idx="29">
                  <c:v>3.1404958677685953E-2</c:v>
                </c:pt>
                <c:pt idx="30">
                  <c:v>0.45785123966942148</c:v>
                </c:pt>
                <c:pt idx="31">
                  <c:v>0.45289256198347105</c:v>
                </c:pt>
                <c:pt idx="32">
                  <c:v>2.809917355371901E-2</c:v>
                </c:pt>
                <c:pt idx="33">
                  <c:v>2.6446280991735537E-2</c:v>
                </c:pt>
                <c:pt idx="34">
                  <c:v>0.55702479338842981</c:v>
                </c:pt>
                <c:pt idx="35">
                  <c:v>0.69586776859504129</c:v>
                </c:pt>
                <c:pt idx="36">
                  <c:v>3.1404958677685953E-2</c:v>
                </c:pt>
                <c:pt idx="37">
                  <c:v>0.97024793388429753</c:v>
                </c:pt>
                <c:pt idx="38">
                  <c:v>0.11239669421487604</c:v>
                </c:pt>
                <c:pt idx="39">
                  <c:v>0.15206611570247933</c:v>
                </c:pt>
                <c:pt idx="40">
                  <c:v>2.6446280991735537E-2</c:v>
                </c:pt>
                <c:pt idx="41">
                  <c:v>3.8016528925619832E-2</c:v>
                </c:pt>
                <c:pt idx="42">
                  <c:v>3.1404958677685953E-2</c:v>
                </c:pt>
                <c:pt idx="43">
                  <c:v>5.1239669421487603E-2</c:v>
                </c:pt>
                <c:pt idx="44">
                  <c:v>5.4545454545454543E-2</c:v>
                </c:pt>
                <c:pt idx="45">
                  <c:v>0.43471074380165287</c:v>
                </c:pt>
                <c:pt idx="46">
                  <c:v>1.6528925619834711E-2</c:v>
                </c:pt>
                <c:pt idx="47">
                  <c:v>7.9338842975206617E-2</c:v>
                </c:pt>
                <c:pt idx="48">
                  <c:v>0.12561983471074381</c:v>
                </c:pt>
                <c:pt idx="49">
                  <c:v>0.12231404958677686</c:v>
                </c:pt>
                <c:pt idx="50">
                  <c:v>5.4545454545454543E-2</c:v>
                </c:pt>
                <c:pt idx="51">
                  <c:v>9.4214876033057851E-2</c:v>
                </c:pt>
                <c:pt idx="52">
                  <c:v>9.9173553719008267E-2</c:v>
                </c:pt>
                <c:pt idx="53">
                  <c:v>5.4545454545454543E-2</c:v>
                </c:pt>
                <c:pt idx="54">
                  <c:v>0.39834710743801655</c:v>
                </c:pt>
                <c:pt idx="55">
                  <c:v>0.24297520661157024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4-4742-89F7-8FB33B630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30536"/>
        <c:axId val="35043336"/>
      </c:barChart>
      <c:catAx>
        <c:axId val="3503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3336"/>
        <c:crosses val="autoZero"/>
        <c:auto val="1"/>
        <c:lblAlgn val="ctr"/>
        <c:lblOffset val="100"/>
        <c:noMultiLvlLbl val="0"/>
      </c:catAx>
      <c:valAx>
        <c:axId val="3504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Kosten KH 6 vs Durchschnitt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Laborleistungen!$O$4</c:f>
              <c:strCache>
                <c:ptCount val="1"/>
                <c:pt idx="0">
                  <c:v>Kosten im Schnitt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Laborleistungen!A5:A60</c:f>
              <c:strCache>
                <c:ptCount val="56"/>
                <c:pt idx="0">
                  <c:v>Blutbild</c:v>
                </c:pt>
                <c:pt idx="1">
                  <c:v>Blutsenkung</c:v>
                </c:pt>
                <c:pt idx="2">
                  <c:v>Prothrombinzeit</c:v>
                </c:pt>
                <c:pt idx="3">
                  <c:v>INR F. PTZ</c:v>
                </c:pt>
                <c:pt idx="4">
                  <c:v>Partielle Thromboplastinzeit</c:v>
                </c:pt>
                <c:pt idx="5">
                  <c:v>Fibrinogen</c:v>
                </c:pt>
                <c:pt idx="6">
                  <c:v>AT3</c:v>
                </c:pt>
                <c:pt idx="7">
                  <c:v>Thrombotest</c:v>
                </c:pt>
                <c:pt idx="8">
                  <c:v>Natrium</c:v>
                </c:pt>
                <c:pt idx="9">
                  <c:v>Kalium</c:v>
                </c:pt>
                <c:pt idx="10">
                  <c:v>Chlorid</c:v>
                </c:pt>
                <c:pt idx="11">
                  <c:v>Calzium</c:v>
                </c:pt>
                <c:pt idx="12">
                  <c:v>Phosphat im Serum</c:v>
                </c:pt>
                <c:pt idx="13">
                  <c:v>Magnesium</c:v>
                </c:pt>
                <c:pt idx="14">
                  <c:v>GOT </c:v>
                </c:pt>
                <c:pt idx="15">
                  <c:v>GPT</c:v>
                </c:pt>
                <c:pt idx="16">
                  <c:v>GGT</c:v>
                </c:pt>
                <c:pt idx="17">
                  <c:v>Alkalische Phosphatase</c:v>
                </c:pt>
                <c:pt idx="18">
                  <c:v>Cholinesterase</c:v>
                </c:pt>
                <c:pt idx="19">
                  <c:v>Creatinkinase</c:v>
                </c:pt>
                <c:pt idx="20">
                  <c:v>LDH</c:v>
                </c:pt>
                <c:pt idx="21">
                  <c:v>Amylase</c:v>
                </c:pt>
                <c:pt idx="22">
                  <c:v>Lipase im Serum</c:v>
                </c:pt>
                <c:pt idx="23">
                  <c:v>Kreatinin</c:v>
                </c:pt>
                <c:pt idx="24">
                  <c:v>Harnstoff</c:v>
                </c:pt>
                <c:pt idx="25">
                  <c:v>Harnsäure</c:v>
                </c:pt>
                <c:pt idx="26">
                  <c:v>Gesamtbilirubin</c:v>
                </c:pt>
                <c:pt idx="27">
                  <c:v>Indirektes Bilirubin</c:v>
                </c:pt>
                <c:pt idx="28">
                  <c:v>Direktes Bilirubin</c:v>
                </c:pt>
                <c:pt idx="29">
                  <c:v>Troponin I</c:v>
                </c:pt>
                <c:pt idx="30">
                  <c:v>Cholesterin</c:v>
                </c:pt>
                <c:pt idx="31">
                  <c:v>Triglyceride</c:v>
                </c:pt>
                <c:pt idx="32">
                  <c:v>HDL Cholesterin</c:v>
                </c:pt>
                <c:pt idx="33">
                  <c:v>LDL Cholesterin</c:v>
                </c:pt>
                <c:pt idx="34">
                  <c:v>Gesamteiweiß</c:v>
                </c:pt>
                <c:pt idx="35">
                  <c:v>Glucose</c:v>
                </c:pt>
                <c:pt idx="36">
                  <c:v>HBA1C Hitachi Vision</c:v>
                </c:pt>
                <c:pt idx="37">
                  <c:v>CRP</c:v>
                </c:pt>
                <c:pt idx="38">
                  <c:v>Albumin</c:v>
                </c:pt>
                <c:pt idx="39">
                  <c:v>PSA</c:v>
                </c:pt>
                <c:pt idx="40">
                  <c:v>freies PSA</c:v>
                </c:pt>
                <c:pt idx="41">
                  <c:v>CEA</c:v>
                </c:pt>
                <c:pt idx="42">
                  <c:v>CA 19-9</c:v>
                </c:pt>
                <c:pt idx="43">
                  <c:v>freies T3</c:v>
                </c:pt>
                <c:pt idx="44">
                  <c:v>freies T4</c:v>
                </c:pt>
                <c:pt idx="45">
                  <c:v>TSH</c:v>
                </c:pt>
                <c:pt idx="46">
                  <c:v>Brain Natriuretic Peptid</c:v>
                </c:pt>
                <c:pt idx="47">
                  <c:v>HIV</c:v>
                </c:pt>
                <c:pt idx="48">
                  <c:v>Blutgruppe komplett</c:v>
                </c:pt>
                <c:pt idx="49">
                  <c:v>Rhesusfaktor</c:v>
                </c:pt>
                <c:pt idx="50">
                  <c:v>Isoagglutinine</c:v>
                </c:pt>
                <c:pt idx="51">
                  <c:v>Antikörpersuchtest Enzym</c:v>
                </c:pt>
                <c:pt idx="52">
                  <c:v>Antikörpersuchtest LISS</c:v>
                </c:pt>
                <c:pt idx="53">
                  <c:v>Antigennachweis Patient</c:v>
                </c:pt>
                <c:pt idx="54">
                  <c:v>Harnstreifen</c:v>
                </c:pt>
                <c:pt idx="55">
                  <c:v>Harnsediment</c:v>
                </c:pt>
              </c:strCache>
            </c:strRef>
          </c:cat>
          <c:val>
            <c:numRef>
              <c:f>Laborleistungen!N5:N60</c:f>
              <c:numCache>
                <c:formatCode>#,##0.00\ "€"</c:formatCode>
                <c:ptCount val="56"/>
                <c:pt idx="0">
                  <c:v>3.9249993421487601</c:v>
                </c:pt>
                <c:pt idx="1">
                  <c:v>0.75532633388429748</c:v>
                </c:pt>
                <c:pt idx="2">
                  <c:v>2.8758279421487605</c:v>
                </c:pt>
                <c:pt idx="3">
                  <c:v>0</c:v>
                </c:pt>
                <c:pt idx="4">
                  <c:v>2.8758279421487605</c:v>
                </c:pt>
                <c:pt idx="5">
                  <c:v>1.5800193719008266</c:v>
                </c:pt>
                <c:pt idx="6">
                  <c:v>0.64645914545454553</c:v>
                </c:pt>
                <c:pt idx="7">
                  <c:v>0.13006257024793388</c:v>
                </c:pt>
                <c:pt idx="8">
                  <c:v>1.508725814876033</c:v>
                </c:pt>
                <c:pt idx="9">
                  <c:v>1.50583553553719</c:v>
                </c:pt>
                <c:pt idx="10">
                  <c:v>1.2283687190082644</c:v>
                </c:pt>
                <c:pt idx="11">
                  <c:v>1.9345603041322312</c:v>
                </c:pt>
                <c:pt idx="12">
                  <c:v>0.21966122975206609</c:v>
                </c:pt>
                <c:pt idx="13">
                  <c:v>0.21580752396694214</c:v>
                </c:pt>
                <c:pt idx="14">
                  <c:v>1.7881194842975203</c:v>
                </c:pt>
                <c:pt idx="15">
                  <c:v>1.6763620165289255</c:v>
                </c:pt>
                <c:pt idx="16">
                  <c:v>1.7457287206611571</c:v>
                </c:pt>
                <c:pt idx="17">
                  <c:v>1.6570934876033059</c:v>
                </c:pt>
                <c:pt idx="18">
                  <c:v>1.4759693157024791</c:v>
                </c:pt>
                <c:pt idx="19">
                  <c:v>0.45088357685950409</c:v>
                </c:pt>
                <c:pt idx="20">
                  <c:v>1.514506373553719</c:v>
                </c:pt>
                <c:pt idx="21">
                  <c:v>1.3198942314049587</c:v>
                </c:pt>
                <c:pt idx="22">
                  <c:v>1.3102599669421489</c:v>
                </c:pt>
                <c:pt idx="23">
                  <c:v>2.0154881256198349</c:v>
                </c:pt>
                <c:pt idx="24">
                  <c:v>1.8497787768595042</c:v>
                </c:pt>
                <c:pt idx="25">
                  <c:v>1.0559153851239669</c:v>
                </c:pt>
                <c:pt idx="26">
                  <c:v>1.7264601917355371</c:v>
                </c:pt>
                <c:pt idx="27">
                  <c:v>0</c:v>
                </c:pt>
                <c:pt idx="28">
                  <c:v>0.18883158347107437</c:v>
                </c:pt>
                <c:pt idx="29">
                  <c:v>0.36610204958677683</c:v>
                </c:pt>
                <c:pt idx="30">
                  <c:v>1.0674765024793387</c:v>
                </c:pt>
                <c:pt idx="31">
                  <c:v>1.0559153851239669</c:v>
                </c:pt>
                <c:pt idx="32">
                  <c:v>6.5512998347107429E-2</c:v>
                </c:pt>
                <c:pt idx="33">
                  <c:v>6.1659292561983471E-2</c:v>
                </c:pt>
                <c:pt idx="34">
                  <c:v>0.97402413719008252</c:v>
                </c:pt>
                <c:pt idx="35">
                  <c:v>1.62241013553719</c:v>
                </c:pt>
                <c:pt idx="36">
                  <c:v>0.36610204958677683</c:v>
                </c:pt>
                <c:pt idx="37">
                  <c:v>11.310626479338843</c:v>
                </c:pt>
                <c:pt idx="38">
                  <c:v>0.98269497520661164</c:v>
                </c:pt>
                <c:pt idx="39">
                  <c:v>2.6590569917355373</c:v>
                </c:pt>
                <c:pt idx="40">
                  <c:v>0.46244469421487605</c:v>
                </c:pt>
                <c:pt idx="41">
                  <c:v>0.55397020661157026</c:v>
                </c:pt>
                <c:pt idx="42">
                  <c:v>0.54915307438016536</c:v>
                </c:pt>
                <c:pt idx="43">
                  <c:v>0.74665549586776858</c:v>
                </c:pt>
                <c:pt idx="44">
                  <c:v>0.79482681818181822</c:v>
                </c:pt>
                <c:pt idx="45">
                  <c:v>6.3345288842975211</c:v>
                </c:pt>
                <c:pt idx="46">
                  <c:v>0.24085661157024796</c:v>
                </c:pt>
                <c:pt idx="47">
                  <c:v>1.3410896132231407</c:v>
                </c:pt>
                <c:pt idx="48">
                  <c:v>0.73220409917355367</c:v>
                </c:pt>
                <c:pt idx="49">
                  <c:v>0.85552268429752065</c:v>
                </c:pt>
                <c:pt idx="50">
                  <c:v>0.25434458181818181</c:v>
                </c:pt>
                <c:pt idx="51">
                  <c:v>0.54915307438016536</c:v>
                </c:pt>
                <c:pt idx="52">
                  <c:v>1.1561117355371899</c:v>
                </c:pt>
                <c:pt idx="53">
                  <c:v>0.63586145454545462</c:v>
                </c:pt>
                <c:pt idx="54">
                  <c:v>0.81265020743801641</c:v>
                </c:pt>
                <c:pt idx="55">
                  <c:v>0.70811843801652896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2-427C-A579-E77A142DEC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9"/>
        <c:axId val="33883656"/>
        <c:axId val="48762376"/>
      </c:barChart>
      <c:lineChart>
        <c:grouping val="standard"/>
        <c:varyColors val="0"/>
        <c:ser>
          <c:idx val="1"/>
          <c:order val="1"/>
          <c:tx>
            <c:strRef>
              <c:f>Laborleistungen!$T$4</c:f>
              <c:strCache>
                <c:ptCount val="1"/>
                <c:pt idx="0">
                  <c:v>Kosten KH 5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Laborleistungen!A5:A60</c:f>
              <c:strCache>
                <c:ptCount val="56"/>
                <c:pt idx="0">
                  <c:v>Blutbild</c:v>
                </c:pt>
                <c:pt idx="1">
                  <c:v>Blutsenkung</c:v>
                </c:pt>
                <c:pt idx="2">
                  <c:v>Prothrombinzeit</c:v>
                </c:pt>
                <c:pt idx="3">
                  <c:v>INR F. PTZ</c:v>
                </c:pt>
                <c:pt idx="4">
                  <c:v>Partielle Thromboplastinzeit</c:v>
                </c:pt>
                <c:pt idx="5">
                  <c:v>Fibrinogen</c:v>
                </c:pt>
                <c:pt idx="6">
                  <c:v>AT3</c:v>
                </c:pt>
                <c:pt idx="7">
                  <c:v>Thrombotest</c:v>
                </c:pt>
                <c:pt idx="8">
                  <c:v>Natrium</c:v>
                </c:pt>
                <c:pt idx="9">
                  <c:v>Kalium</c:v>
                </c:pt>
                <c:pt idx="10">
                  <c:v>Chlorid</c:v>
                </c:pt>
                <c:pt idx="11">
                  <c:v>Calzium</c:v>
                </c:pt>
                <c:pt idx="12">
                  <c:v>Phosphat im Serum</c:v>
                </c:pt>
                <c:pt idx="13">
                  <c:v>Magnesium</c:v>
                </c:pt>
                <c:pt idx="14">
                  <c:v>GOT </c:v>
                </c:pt>
                <c:pt idx="15">
                  <c:v>GPT</c:v>
                </c:pt>
                <c:pt idx="16">
                  <c:v>GGT</c:v>
                </c:pt>
                <c:pt idx="17">
                  <c:v>Alkalische Phosphatase</c:v>
                </c:pt>
                <c:pt idx="18">
                  <c:v>Cholinesterase</c:v>
                </c:pt>
                <c:pt idx="19">
                  <c:v>Creatinkinase</c:v>
                </c:pt>
                <c:pt idx="20">
                  <c:v>LDH</c:v>
                </c:pt>
                <c:pt idx="21">
                  <c:v>Amylase</c:v>
                </c:pt>
                <c:pt idx="22">
                  <c:v>Lipase im Serum</c:v>
                </c:pt>
                <c:pt idx="23">
                  <c:v>Kreatinin</c:v>
                </c:pt>
                <c:pt idx="24">
                  <c:v>Harnstoff</c:v>
                </c:pt>
                <c:pt idx="25">
                  <c:v>Harnsäure</c:v>
                </c:pt>
                <c:pt idx="26">
                  <c:v>Gesamtbilirubin</c:v>
                </c:pt>
                <c:pt idx="27">
                  <c:v>Indirektes Bilirubin</c:v>
                </c:pt>
                <c:pt idx="28">
                  <c:v>Direktes Bilirubin</c:v>
                </c:pt>
                <c:pt idx="29">
                  <c:v>Troponin I</c:v>
                </c:pt>
                <c:pt idx="30">
                  <c:v>Cholesterin</c:v>
                </c:pt>
                <c:pt idx="31">
                  <c:v>Triglyceride</c:v>
                </c:pt>
                <c:pt idx="32">
                  <c:v>HDL Cholesterin</c:v>
                </c:pt>
                <c:pt idx="33">
                  <c:v>LDL Cholesterin</c:v>
                </c:pt>
                <c:pt idx="34">
                  <c:v>Gesamteiweiß</c:v>
                </c:pt>
                <c:pt idx="35">
                  <c:v>Glucose</c:v>
                </c:pt>
                <c:pt idx="36">
                  <c:v>HBA1C Hitachi Vision</c:v>
                </c:pt>
                <c:pt idx="37">
                  <c:v>CRP</c:v>
                </c:pt>
                <c:pt idx="38">
                  <c:v>Albumin</c:v>
                </c:pt>
                <c:pt idx="39">
                  <c:v>PSA</c:v>
                </c:pt>
                <c:pt idx="40">
                  <c:v>freies PSA</c:v>
                </c:pt>
                <c:pt idx="41">
                  <c:v>CEA</c:v>
                </c:pt>
                <c:pt idx="42">
                  <c:v>CA 19-9</c:v>
                </c:pt>
                <c:pt idx="43">
                  <c:v>freies T3</c:v>
                </c:pt>
                <c:pt idx="44">
                  <c:v>freies T4</c:v>
                </c:pt>
                <c:pt idx="45">
                  <c:v>TSH</c:v>
                </c:pt>
                <c:pt idx="46">
                  <c:v>Brain Natriuretic Peptid</c:v>
                </c:pt>
                <c:pt idx="47">
                  <c:v>HIV</c:v>
                </c:pt>
                <c:pt idx="48">
                  <c:v>Blutgruppe komplett</c:v>
                </c:pt>
                <c:pt idx="49">
                  <c:v>Rhesusfaktor</c:v>
                </c:pt>
                <c:pt idx="50">
                  <c:v>Isoagglutinine</c:v>
                </c:pt>
                <c:pt idx="51">
                  <c:v>Antikörpersuchtest Enzym</c:v>
                </c:pt>
                <c:pt idx="52">
                  <c:v>Antikörpersuchtest LISS</c:v>
                </c:pt>
                <c:pt idx="53">
                  <c:v>Antigennachweis Patient</c:v>
                </c:pt>
                <c:pt idx="54">
                  <c:v>Harnstreifen</c:v>
                </c:pt>
                <c:pt idx="55">
                  <c:v>Harnsediment</c:v>
                </c:pt>
              </c:strCache>
            </c:strRef>
          </c:cat>
          <c:val>
            <c:numRef>
              <c:f>Laborleistungen!V5:V60</c:f>
              <c:numCache>
                <c:formatCode>#,##0.00\ "€"</c:formatCode>
                <c:ptCount val="56"/>
                <c:pt idx="0">
                  <c:v>2.6293103211678832</c:v>
                </c:pt>
                <c:pt idx="1">
                  <c:v>0.15316370802919707</c:v>
                </c:pt>
                <c:pt idx="2">
                  <c:v>2.6037830364963503</c:v>
                </c:pt>
                <c:pt idx="3">
                  <c:v>0</c:v>
                </c:pt>
                <c:pt idx="4">
                  <c:v>2.6037830364963503</c:v>
                </c:pt>
                <c:pt idx="5">
                  <c:v>1.1742550948905108</c:v>
                </c:pt>
                <c:pt idx="6">
                  <c:v>0.20421827737226275</c:v>
                </c:pt>
                <c:pt idx="7">
                  <c:v>0</c:v>
                </c:pt>
                <c:pt idx="8">
                  <c:v>2.5016738978102189</c:v>
                </c:pt>
                <c:pt idx="9">
                  <c:v>2.5016738978102189</c:v>
                </c:pt>
                <c:pt idx="10">
                  <c:v>2.2719283357664235</c:v>
                </c:pt>
                <c:pt idx="11">
                  <c:v>2.0932373430656934</c:v>
                </c:pt>
                <c:pt idx="12">
                  <c:v>1.3529460875912409</c:v>
                </c:pt>
                <c:pt idx="13">
                  <c:v>1.3529460875912409</c:v>
                </c:pt>
                <c:pt idx="14">
                  <c:v>1.4295279416058393</c:v>
                </c:pt>
                <c:pt idx="15">
                  <c:v>1.6082189343065691</c:v>
                </c:pt>
                <c:pt idx="16">
                  <c:v>1.3529460875912409</c:v>
                </c:pt>
                <c:pt idx="17">
                  <c:v>0.68923668613138689</c:v>
                </c:pt>
                <c:pt idx="18">
                  <c:v>1.0976732408759124</c:v>
                </c:pt>
                <c:pt idx="19">
                  <c:v>0.48501840875912405</c:v>
                </c:pt>
                <c:pt idx="20">
                  <c:v>0.63818211678832115</c:v>
                </c:pt>
                <c:pt idx="21">
                  <c:v>1.1232005255474451</c:v>
                </c:pt>
                <c:pt idx="22">
                  <c:v>1.0976732408759124</c:v>
                </c:pt>
                <c:pt idx="23">
                  <c:v>2.476146613138686</c:v>
                </c:pt>
                <c:pt idx="24">
                  <c:v>2.3229829051094888</c:v>
                </c:pt>
                <c:pt idx="25">
                  <c:v>1.4295279416058393</c:v>
                </c:pt>
                <c:pt idx="26">
                  <c:v>1.2763642335766423</c:v>
                </c:pt>
                <c:pt idx="27">
                  <c:v>0</c:v>
                </c:pt>
                <c:pt idx="28">
                  <c:v>0.30632741605839414</c:v>
                </c:pt>
                <c:pt idx="29">
                  <c:v>0.35738198540145982</c:v>
                </c:pt>
                <c:pt idx="30">
                  <c:v>0.10210913868613138</c:v>
                </c:pt>
                <c:pt idx="31">
                  <c:v>0.10210913868613138</c:v>
                </c:pt>
                <c:pt idx="32">
                  <c:v>0.10210913868613138</c:v>
                </c:pt>
                <c:pt idx="33">
                  <c:v>0.10210913868613138</c:v>
                </c:pt>
                <c:pt idx="34">
                  <c:v>1.1997823795620437</c:v>
                </c:pt>
                <c:pt idx="35">
                  <c:v>1.9656009197080293</c:v>
                </c:pt>
                <c:pt idx="36">
                  <c:v>0</c:v>
                </c:pt>
                <c:pt idx="37">
                  <c:v>2.3995647591240874</c:v>
                </c:pt>
                <c:pt idx="38">
                  <c:v>0.4084365547445255</c:v>
                </c:pt>
                <c:pt idx="39">
                  <c:v>0.15316370802919707</c:v>
                </c:pt>
                <c:pt idx="40">
                  <c:v>0.10210913868613138</c:v>
                </c:pt>
                <c:pt idx="41">
                  <c:v>2.5527284671532844E-2</c:v>
                </c:pt>
                <c:pt idx="42">
                  <c:v>2.5527284671532844E-2</c:v>
                </c:pt>
                <c:pt idx="43">
                  <c:v>2.5527284671532844E-2</c:v>
                </c:pt>
                <c:pt idx="44">
                  <c:v>7.6581854014598535E-2</c:v>
                </c:pt>
                <c:pt idx="45">
                  <c:v>0.10210913868613138</c:v>
                </c:pt>
                <c:pt idx="46">
                  <c:v>0</c:v>
                </c:pt>
                <c:pt idx="47">
                  <c:v>0</c:v>
                </c:pt>
                <c:pt idx="48">
                  <c:v>0.84240039416058388</c:v>
                </c:pt>
                <c:pt idx="49">
                  <c:v>0.81687310948905101</c:v>
                </c:pt>
                <c:pt idx="50">
                  <c:v>0.35738198540145982</c:v>
                </c:pt>
                <c:pt idx="51">
                  <c:v>0.61265483211678828</c:v>
                </c:pt>
                <c:pt idx="52">
                  <c:v>0.61265483211678828</c:v>
                </c:pt>
                <c:pt idx="53">
                  <c:v>0.38290927007299264</c:v>
                </c:pt>
                <c:pt idx="54">
                  <c:v>5.1054569343065688E-2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2-427C-A579-E77A142DE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83656"/>
        <c:axId val="48762376"/>
      </c:lineChart>
      <c:catAx>
        <c:axId val="3388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2376"/>
        <c:crosses val="autoZero"/>
        <c:auto val="1"/>
        <c:lblAlgn val="ctr"/>
        <c:lblOffset val="100"/>
        <c:noMultiLvlLbl val="0"/>
      </c:catAx>
      <c:valAx>
        <c:axId val="48762376"/>
        <c:scaling>
          <c:orientation val="minMax"/>
          <c:max val="15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3388365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[Daten Case Study Handout – Marz_Briegler.xlsx]Tabelle1!PivotTable2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Mehrere Werte von "Leistung"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Tabelle1!$B$8</c:f>
              <c:strCache>
                <c:ptCount val="1"/>
                <c:pt idx="0">
                  <c:v>Summe von Kosten KH 6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Tabelle1!$A$9:$A$65</c:f>
              <c:strCache>
                <c:ptCount val="56"/>
                <c:pt idx="0">
                  <c:v>Albumin</c:v>
                </c:pt>
                <c:pt idx="1">
                  <c:v>Alkalische Phosphatase</c:v>
                </c:pt>
                <c:pt idx="2">
                  <c:v>Amylase</c:v>
                </c:pt>
                <c:pt idx="3">
                  <c:v>Antigennachweis Patient</c:v>
                </c:pt>
                <c:pt idx="4">
                  <c:v>Antikörpersuchtest Enzym</c:v>
                </c:pt>
                <c:pt idx="5">
                  <c:v>Antikörpersuchtest LISS</c:v>
                </c:pt>
                <c:pt idx="6">
                  <c:v>AT3</c:v>
                </c:pt>
                <c:pt idx="7">
                  <c:v>Blutbild</c:v>
                </c:pt>
                <c:pt idx="8">
                  <c:v>Blutgruppe komplett</c:v>
                </c:pt>
                <c:pt idx="9">
                  <c:v>Blutsenkung</c:v>
                </c:pt>
                <c:pt idx="10">
                  <c:v>Brain Natriuretic Peptid</c:v>
                </c:pt>
                <c:pt idx="11">
                  <c:v>CA 19-9</c:v>
                </c:pt>
                <c:pt idx="12">
                  <c:v>Calzium</c:v>
                </c:pt>
                <c:pt idx="13">
                  <c:v>CEA</c:v>
                </c:pt>
                <c:pt idx="14">
                  <c:v>Chlorid</c:v>
                </c:pt>
                <c:pt idx="15">
                  <c:v>Cholesterin</c:v>
                </c:pt>
                <c:pt idx="16">
                  <c:v>Cholinesterase</c:v>
                </c:pt>
                <c:pt idx="17">
                  <c:v>Creatinkinase</c:v>
                </c:pt>
                <c:pt idx="18">
                  <c:v>CRP</c:v>
                </c:pt>
                <c:pt idx="19">
                  <c:v>Direktes Bilirubin</c:v>
                </c:pt>
                <c:pt idx="20">
                  <c:v>Fibrinogen</c:v>
                </c:pt>
                <c:pt idx="21">
                  <c:v>freies PSA</c:v>
                </c:pt>
                <c:pt idx="22">
                  <c:v>freies T3</c:v>
                </c:pt>
                <c:pt idx="23">
                  <c:v>freies T4</c:v>
                </c:pt>
                <c:pt idx="24">
                  <c:v>Gesamtbilirubin</c:v>
                </c:pt>
                <c:pt idx="25">
                  <c:v>Gesamteiweiß</c:v>
                </c:pt>
                <c:pt idx="26">
                  <c:v>GGT</c:v>
                </c:pt>
                <c:pt idx="27">
                  <c:v>Glucose</c:v>
                </c:pt>
                <c:pt idx="28">
                  <c:v>GOT </c:v>
                </c:pt>
                <c:pt idx="29">
                  <c:v>GPT</c:v>
                </c:pt>
                <c:pt idx="30">
                  <c:v>Harnsäure</c:v>
                </c:pt>
                <c:pt idx="31">
                  <c:v>Harnsediment</c:v>
                </c:pt>
                <c:pt idx="32">
                  <c:v>Harnstoff</c:v>
                </c:pt>
                <c:pt idx="33">
                  <c:v>Harnstreifen</c:v>
                </c:pt>
                <c:pt idx="34">
                  <c:v>HBA1C Hitachi Vision</c:v>
                </c:pt>
                <c:pt idx="35">
                  <c:v>HDL Cholesterin</c:v>
                </c:pt>
                <c:pt idx="36">
                  <c:v>HIV</c:v>
                </c:pt>
                <c:pt idx="37">
                  <c:v>Indirektes Bilirubin</c:v>
                </c:pt>
                <c:pt idx="38">
                  <c:v>INR F. PTZ</c:v>
                </c:pt>
                <c:pt idx="39">
                  <c:v>Isoagglutinine</c:v>
                </c:pt>
                <c:pt idx="40">
                  <c:v>Kalium</c:v>
                </c:pt>
                <c:pt idx="41">
                  <c:v>Kreatinin</c:v>
                </c:pt>
                <c:pt idx="42">
                  <c:v>LDH</c:v>
                </c:pt>
                <c:pt idx="43">
                  <c:v>LDL Cholesterin</c:v>
                </c:pt>
                <c:pt idx="44">
                  <c:v>Lipase im Serum</c:v>
                </c:pt>
                <c:pt idx="45">
                  <c:v>Magnesium</c:v>
                </c:pt>
                <c:pt idx="46">
                  <c:v>Natrium</c:v>
                </c:pt>
                <c:pt idx="47">
                  <c:v>Partielle Thromboplastinzeit</c:v>
                </c:pt>
                <c:pt idx="48">
                  <c:v>Phosphat im Serum</c:v>
                </c:pt>
                <c:pt idx="49">
                  <c:v>Prothrombinzeit</c:v>
                </c:pt>
                <c:pt idx="50">
                  <c:v>PSA</c:v>
                </c:pt>
                <c:pt idx="51">
                  <c:v>Rhesusfaktor</c:v>
                </c:pt>
                <c:pt idx="52">
                  <c:v>Thrombotest</c:v>
                </c:pt>
                <c:pt idx="53">
                  <c:v>Triglyceride</c:v>
                </c:pt>
                <c:pt idx="54">
                  <c:v>Troponin I</c:v>
                </c:pt>
                <c:pt idx="55">
                  <c:v>TSH</c:v>
                </c:pt>
              </c:strCache>
            </c:strRef>
          </c:cat>
          <c:val>
            <c:numRef>
              <c:f>Tabelle1!$B$9:$B$65</c:f>
              <c:numCache>
                <c:formatCode>#,##0.00\ "€"</c:formatCode>
                <c:ptCount val="56"/>
                <c:pt idx="0">
                  <c:v>55.955807999999998</c:v>
                </c:pt>
                <c:pt idx="1">
                  <c:v>94.425426000000002</c:v>
                </c:pt>
                <c:pt idx="2">
                  <c:v>153.87847199999999</c:v>
                </c:pt>
                <c:pt idx="3">
                  <c:v>52.458569999999995</c:v>
                </c:pt>
                <c:pt idx="4">
                  <c:v>83.933712</c:v>
                </c:pt>
                <c:pt idx="5">
                  <c:v>83.933712</c:v>
                </c:pt>
                <c:pt idx="6">
                  <c:v>27.977903999999999</c:v>
                </c:pt>
                <c:pt idx="7">
                  <c:v>360.21551399999998</c:v>
                </c:pt>
                <c:pt idx="8">
                  <c:v>115.40885399999999</c:v>
                </c:pt>
                <c:pt idx="9">
                  <c:v>20.983428</c:v>
                </c:pt>
                <c:pt idx="10">
                  <c:v>0</c:v>
                </c:pt>
                <c:pt idx="11">
                  <c:v>3.4972379999999998</c:v>
                </c:pt>
                <c:pt idx="12">
                  <c:v>286.77351599999997</c:v>
                </c:pt>
                <c:pt idx="13">
                  <c:v>3.4972379999999998</c:v>
                </c:pt>
                <c:pt idx="14">
                  <c:v>311.25418200000001</c:v>
                </c:pt>
                <c:pt idx="15">
                  <c:v>13.988951999999999</c:v>
                </c:pt>
                <c:pt idx="16">
                  <c:v>150.38123400000001</c:v>
                </c:pt>
                <c:pt idx="17">
                  <c:v>66.447521999999992</c:v>
                </c:pt>
                <c:pt idx="18">
                  <c:v>328.74037199999998</c:v>
                </c:pt>
                <c:pt idx="19">
                  <c:v>41.966856</c:v>
                </c:pt>
                <c:pt idx="20">
                  <c:v>160.87294799999998</c:v>
                </c:pt>
                <c:pt idx="21">
                  <c:v>13.988951999999999</c:v>
                </c:pt>
                <c:pt idx="22">
                  <c:v>3.4972379999999998</c:v>
                </c:pt>
                <c:pt idx="23">
                  <c:v>10.491714</c:v>
                </c:pt>
                <c:pt idx="24">
                  <c:v>174.86189999999999</c:v>
                </c:pt>
                <c:pt idx="25">
                  <c:v>164.37018599999999</c:v>
                </c:pt>
                <c:pt idx="26">
                  <c:v>185.35361399999999</c:v>
                </c:pt>
                <c:pt idx="27">
                  <c:v>269.28732600000001</c:v>
                </c:pt>
                <c:pt idx="28">
                  <c:v>195.84532799999999</c:v>
                </c:pt>
                <c:pt idx="29">
                  <c:v>220.32599399999998</c:v>
                </c:pt>
                <c:pt idx="30">
                  <c:v>195.84532799999999</c:v>
                </c:pt>
                <c:pt idx="31">
                  <c:v>0</c:v>
                </c:pt>
                <c:pt idx="32">
                  <c:v>318.24865799999998</c:v>
                </c:pt>
                <c:pt idx="33">
                  <c:v>6.9944759999999997</c:v>
                </c:pt>
                <c:pt idx="34">
                  <c:v>0</c:v>
                </c:pt>
                <c:pt idx="35">
                  <c:v>13.988951999999999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48.961331999999999</c:v>
                </c:pt>
                <c:pt idx="40">
                  <c:v>342.72932399999996</c:v>
                </c:pt>
                <c:pt idx="41">
                  <c:v>339.23208599999998</c:v>
                </c:pt>
                <c:pt idx="42">
                  <c:v>87.430949999999996</c:v>
                </c:pt>
                <c:pt idx="43">
                  <c:v>13.988951999999999</c:v>
                </c:pt>
                <c:pt idx="44">
                  <c:v>150.38123400000001</c:v>
                </c:pt>
                <c:pt idx="45">
                  <c:v>185.35361399999999</c:v>
                </c:pt>
                <c:pt idx="46">
                  <c:v>342.72932399999996</c:v>
                </c:pt>
                <c:pt idx="47">
                  <c:v>356.718276</c:v>
                </c:pt>
                <c:pt idx="48">
                  <c:v>185.35361399999999</c:v>
                </c:pt>
                <c:pt idx="49">
                  <c:v>356.718276</c:v>
                </c:pt>
                <c:pt idx="50">
                  <c:v>20.983428</c:v>
                </c:pt>
                <c:pt idx="51">
                  <c:v>111.911616</c:v>
                </c:pt>
                <c:pt idx="52">
                  <c:v>0</c:v>
                </c:pt>
                <c:pt idx="53">
                  <c:v>13.988951999999999</c:v>
                </c:pt>
                <c:pt idx="54">
                  <c:v>48.961331999999999</c:v>
                </c:pt>
                <c:pt idx="55">
                  <c:v>13.988951999999999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8F-472F-A9BF-710C36C8D740}"/>
            </c:ext>
          </c:extLst>
        </c:ser>
        <c:ser>
          <c:idx val="1"/>
          <c:order val="1"/>
          <c:tx>
            <c:strRef>
              <c:f>Tabelle1!$C$8</c:f>
              <c:strCache>
                <c:ptCount val="1"/>
                <c:pt idx="0">
                  <c:v>Summe von Kosten im Schnitt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Tabelle1!$A$9:$A$65</c:f>
              <c:strCache>
                <c:ptCount val="56"/>
                <c:pt idx="0">
                  <c:v>Albumin</c:v>
                </c:pt>
                <c:pt idx="1">
                  <c:v>Alkalische Phosphatase</c:v>
                </c:pt>
                <c:pt idx="2">
                  <c:v>Amylase</c:v>
                </c:pt>
                <c:pt idx="3">
                  <c:v>Antigennachweis Patient</c:v>
                </c:pt>
                <c:pt idx="4">
                  <c:v>Antikörpersuchtest Enzym</c:v>
                </c:pt>
                <c:pt idx="5">
                  <c:v>Antikörpersuchtest LISS</c:v>
                </c:pt>
                <c:pt idx="6">
                  <c:v>AT3</c:v>
                </c:pt>
                <c:pt idx="7">
                  <c:v>Blutbild</c:v>
                </c:pt>
                <c:pt idx="8">
                  <c:v>Blutgruppe komplett</c:v>
                </c:pt>
                <c:pt idx="9">
                  <c:v>Blutsenkung</c:v>
                </c:pt>
                <c:pt idx="10">
                  <c:v>Brain Natriuretic Peptid</c:v>
                </c:pt>
                <c:pt idx="11">
                  <c:v>CA 19-9</c:v>
                </c:pt>
                <c:pt idx="12">
                  <c:v>Calzium</c:v>
                </c:pt>
                <c:pt idx="13">
                  <c:v>CEA</c:v>
                </c:pt>
                <c:pt idx="14">
                  <c:v>Chlorid</c:v>
                </c:pt>
                <c:pt idx="15">
                  <c:v>Cholesterin</c:v>
                </c:pt>
                <c:pt idx="16">
                  <c:v>Cholinesterase</c:v>
                </c:pt>
                <c:pt idx="17">
                  <c:v>Creatinkinase</c:v>
                </c:pt>
                <c:pt idx="18">
                  <c:v>CRP</c:v>
                </c:pt>
                <c:pt idx="19">
                  <c:v>Direktes Bilirubin</c:v>
                </c:pt>
                <c:pt idx="20">
                  <c:v>Fibrinogen</c:v>
                </c:pt>
                <c:pt idx="21">
                  <c:v>freies PSA</c:v>
                </c:pt>
                <c:pt idx="22">
                  <c:v>freies T3</c:v>
                </c:pt>
                <c:pt idx="23">
                  <c:v>freies T4</c:v>
                </c:pt>
                <c:pt idx="24">
                  <c:v>Gesamtbilirubin</c:v>
                </c:pt>
                <c:pt idx="25">
                  <c:v>Gesamteiweiß</c:v>
                </c:pt>
                <c:pt idx="26">
                  <c:v>GGT</c:v>
                </c:pt>
                <c:pt idx="27">
                  <c:v>Glucose</c:v>
                </c:pt>
                <c:pt idx="28">
                  <c:v>GOT </c:v>
                </c:pt>
                <c:pt idx="29">
                  <c:v>GPT</c:v>
                </c:pt>
                <c:pt idx="30">
                  <c:v>Harnsäure</c:v>
                </c:pt>
                <c:pt idx="31">
                  <c:v>Harnsediment</c:v>
                </c:pt>
                <c:pt idx="32">
                  <c:v>Harnstoff</c:v>
                </c:pt>
                <c:pt idx="33">
                  <c:v>Harnstreifen</c:v>
                </c:pt>
                <c:pt idx="34">
                  <c:v>HBA1C Hitachi Vision</c:v>
                </c:pt>
                <c:pt idx="35">
                  <c:v>HDL Cholesterin</c:v>
                </c:pt>
                <c:pt idx="36">
                  <c:v>HIV</c:v>
                </c:pt>
                <c:pt idx="37">
                  <c:v>Indirektes Bilirubin</c:v>
                </c:pt>
                <c:pt idx="38">
                  <c:v>INR F. PTZ</c:v>
                </c:pt>
                <c:pt idx="39">
                  <c:v>Isoagglutinine</c:v>
                </c:pt>
                <c:pt idx="40">
                  <c:v>Kalium</c:v>
                </c:pt>
                <c:pt idx="41">
                  <c:v>Kreatinin</c:v>
                </c:pt>
                <c:pt idx="42">
                  <c:v>LDH</c:v>
                </c:pt>
                <c:pt idx="43">
                  <c:v>LDL Cholesterin</c:v>
                </c:pt>
                <c:pt idx="44">
                  <c:v>Lipase im Serum</c:v>
                </c:pt>
                <c:pt idx="45">
                  <c:v>Magnesium</c:v>
                </c:pt>
                <c:pt idx="46">
                  <c:v>Natrium</c:v>
                </c:pt>
                <c:pt idx="47">
                  <c:v>Partielle Thromboplastinzeit</c:v>
                </c:pt>
                <c:pt idx="48">
                  <c:v>Phosphat im Serum</c:v>
                </c:pt>
                <c:pt idx="49">
                  <c:v>Prothrombinzeit</c:v>
                </c:pt>
                <c:pt idx="50">
                  <c:v>PSA</c:v>
                </c:pt>
                <c:pt idx="51">
                  <c:v>Rhesusfaktor</c:v>
                </c:pt>
                <c:pt idx="52">
                  <c:v>Thrombotest</c:v>
                </c:pt>
                <c:pt idx="53">
                  <c:v>Triglyceride</c:v>
                </c:pt>
                <c:pt idx="54">
                  <c:v>Troponin I</c:v>
                </c:pt>
                <c:pt idx="55">
                  <c:v>TSH</c:v>
                </c:pt>
              </c:strCache>
            </c:strRef>
          </c:cat>
          <c:val>
            <c:numRef>
              <c:f>Tabelle1!$C$9:$C$65</c:f>
              <c:numCache>
                <c:formatCode>#,##0.00\ "€"</c:formatCode>
                <c:ptCount val="56"/>
                <c:pt idx="0">
                  <c:v>74.316307500000008</c:v>
                </c:pt>
                <c:pt idx="1">
                  <c:v>125.317695</c:v>
                </c:pt>
                <c:pt idx="2">
                  <c:v>99.817001250000004</c:v>
                </c:pt>
                <c:pt idx="3">
                  <c:v>48.087022500000003</c:v>
                </c:pt>
                <c:pt idx="4">
                  <c:v>41.529701250000002</c:v>
                </c:pt>
                <c:pt idx="5">
                  <c:v>87.430949999999996</c:v>
                </c:pt>
                <c:pt idx="6">
                  <c:v>48.888472875000005</c:v>
                </c:pt>
                <c:pt idx="7">
                  <c:v>296.82807524999998</c:v>
                </c:pt>
                <c:pt idx="8">
                  <c:v>55.372934999999998</c:v>
                </c:pt>
                <c:pt idx="9">
                  <c:v>57.121553999999996</c:v>
                </c:pt>
                <c:pt idx="10">
                  <c:v>18.214781250000001</c:v>
                </c:pt>
                <c:pt idx="11">
                  <c:v>41.529701250000002</c:v>
                </c:pt>
                <c:pt idx="12">
                  <c:v>146.30112299999999</c:v>
                </c:pt>
                <c:pt idx="13">
                  <c:v>41.893996874999999</c:v>
                </c:pt>
                <c:pt idx="14">
                  <c:v>92.895384374999992</c:v>
                </c:pt>
                <c:pt idx="15">
                  <c:v>80.727910499999993</c:v>
                </c:pt>
                <c:pt idx="16">
                  <c:v>111.62017949999999</c:v>
                </c:pt>
                <c:pt idx="17">
                  <c:v>34.098070499999999</c:v>
                </c:pt>
                <c:pt idx="18">
                  <c:v>855.36612750000006</c:v>
                </c:pt>
                <c:pt idx="19">
                  <c:v>14.280388499999999</c:v>
                </c:pt>
                <c:pt idx="20">
                  <c:v>119.48896500000001</c:v>
                </c:pt>
                <c:pt idx="21">
                  <c:v>34.972380000000001</c:v>
                </c:pt>
                <c:pt idx="22">
                  <c:v>56.465821875000003</c:v>
                </c:pt>
                <c:pt idx="23">
                  <c:v>60.108778125000001</c:v>
                </c:pt>
                <c:pt idx="24">
                  <c:v>130.56355199999999</c:v>
                </c:pt>
                <c:pt idx="25">
                  <c:v>73.660575374999993</c:v>
                </c:pt>
                <c:pt idx="26">
                  <c:v>132.0207345</c:v>
                </c:pt>
                <c:pt idx="27">
                  <c:v>122.6947665</c:v>
                </c:pt>
                <c:pt idx="28">
                  <c:v>135.22653599999998</c:v>
                </c:pt>
                <c:pt idx="29">
                  <c:v>126.77487749999999</c:v>
                </c:pt>
                <c:pt idx="30">
                  <c:v>79.853600999999998</c:v>
                </c:pt>
                <c:pt idx="31">
                  <c:v>53.551456875</c:v>
                </c:pt>
                <c:pt idx="32">
                  <c:v>139.88952</c:v>
                </c:pt>
                <c:pt idx="33">
                  <c:v>61.456671937499991</c:v>
                </c:pt>
                <c:pt idx="34">
                  <c:v>27.686467499999999</c:v>
                </c:pt>
                <c:pt idx="35">
                  <c:v>4.9544204999999994</c:v>
                </c:pt>
                <c:pt idx="36">
                  <c:v>101.41990200000001</c:v>
                </c:pt>
                <c:pt idx="37">
                  <c:v>0</c:v>
                </c:pt>
                <c:pt idx="38">
                  <c:v>0</c:v>
                </c:pt>
                <c:pt idx="39">
                  <c:v>19.234808999999998</c:v>
                </c:pt>
                <c:pt idx="40">
                  <c:v>113.878812375</c:v>
                </c:pt>
                <c:pt idx="41">
                  <c:v>152.4212895</c:v>
                </c:pt>
                <c:pt idx="42">
                  <c:v>114.5345445</c:v>
                </c:pt>
                <c:pt idx="43">
                  <c:v>4.6629839999999998</c:v>
                </c:pt>
                <c:pt idx="44">
                  <c:v>99.08841000000001</c:v>
                </c:pt>
                <c:pt idx="45">
                  <c:v>16.320443999999998</c:v>
                </c:pt>
                <c:pt idx="46">
                  <c:v>114.09738974999999</c:v>
                </c:pt>
                <c:pt idx="47">
                  <c:v>217.48448812500001</c:v>
                </c:pt>
                <c:pt idx="48">
                  <c:v>16.611880499999998</c:v>
                </c:pt>
                <c:pt idx="49">
                  <c:v>217.48448812500001</c:v>
                </c:pt>
                <c:pt idx="50">
                  <c:v>201.091185</c:v>
                </c:pt>
                <c:pt idx="51">
                  <c:v>64.698903000000001</c:v>
                </c:pt>
                <c:pt idx="52">
                  <c:v>9.8359818749999999</c:v>
                </c:pt>
                <c:pt idx="53">
                  <c:v>79.853600999999998</c:v>
                </c:pt>
                <c:pt idx="54">
                  <c:v>27.686467499999999</c:v>
                </c:pt>
                <c:pt idx="55">
                  <c:v>479.04874687500001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8F-472F-A9BF-710C36C8D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88296"/>
        <c:axId val="69397512"/>
      </c:barChart>
      <c:catAx>
        <c:axId val="69388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Leistung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97512"/>
        <c:crosses val="autoZero"/>
        <c:auto val="1"/>
        <c:lblAlgn val="ctr"/>
        <c:lblOffset val="100"/>
        <c:noMultiLvlLbl val="0"/>
      </c:catAx>
      <c:valAx>
        <c:axId val="69397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60</xdr:row>
      <xdr:rowOff>104775</xdr:rowOff>
    </xdr:from>
    <xdr:to>
      <xdr:col>21</xdr:col>
      <xdr:colOff>800100</xdr:colOff>
      <xdr:row>104</xdr:row>
      <xdr:rowOff>28575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D2D81B42-CC4F-0F62-7743-D50537EC7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962025</xdr:colOff>
      <xdr:row>60</xdr:row>
      <xdr:rowOff>123825</xdr:rowOff>
    </xdr:from>
    <xdr:to>
      <xdr:col>35</xdr:col>
      <xdr:colOff>95250</xdr:colOff>
      <xdr:row>102</xdr:row>
      <xdr:rowOff>95250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3E6C286E-DCEA-4CD5-3B51-56B03F19607E}"/>
            </a:ext>
            <a:ext uri="{147F2762-F138-4A5C-976F-8EAC2B608ADB}">
              <a16:predDERef xmlns:a16="http://schemas.microsoft.com/office/drawing/2014/main" pred="{D2D81B42-CC4F-0F62-7743-D50537EC7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106</xdr:row>
      <xdr:rowOff>9525</xdr:rowOff>
    </xdr:from>
    <xdr:to>
      <xdr:col>21</xdr:col>
      <xdr:colOff>866775</xdr:colOff>
      <xdr:row>131</xdr:row>
      <xdr:rowOff>180975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92F7BA5-9952-42CC-910D-137D57493FAC}"/>
            </a:ext>
            <a:ext uri="{147F2762-F138-4A5C-976F-8EAC2B608ADB}">
              <a16:predDERef xmlns:a16="http://schemas.microsoft.com/office/drawing/2014/main" pred="{3E6C286E-DCEA-4CD5-3B51-56B03F196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7</xdr:row>
      <xdr:rowOff>0</xdr:rowOff>
    </xdr:from>
    <xdr:to>
      <xdr:col>27</xdr:col>
      <xdr:colOff>285750</xdr:colOff>
      <xdr:row>37</xdr:row>
      <xdr:rowOff>66675</xdr:rowOff>
    </xdr:to>
    <xdr:graphicFrame macro="">
      <xdr:nvGraphicFramePr>
        <xdr:cNvPr id="2" name="Diagramm 1" descr="Diagrammtyp: Gestapelte Fläche (100 %). Mehrere Werte von &quot;Leistung&quot;&#10;&#10;Beschreibung automatisch generiert.">
          <a:extLst>
            <a:ext uri="{FF2B5EF4-FFF2-40B4-BE49-F238E27FC236}">
              <a16:creationId xmlns:a16="http://schemas.microsoft.com/office/drawing/2014/main" id="{1AE40F6D-B313-1BBF-406D-40E195A9F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734921064817" createdVersion="8" refreshedVersion="8" minRefreshableVersion="3" recordCount="56" xr:uid="{50D8D5B0-CBA8-413A-8C28-007AB5F61FCA}">
  <cacheSource type="worksheet">
    <worksheetSource name="Tabelle1"/>
  </cacheSource>
  <cacheFields count="39">
    <cacheField name="Leistung" numFmtId="2">
      <sharedItems count="56">
        <s v="Blutbild"/>
        <s v="Blutsenkung"/>
        <s v="Prothrombinzeit"/>
        <s v="INR F. PTZ"/>
        <s v="Partielle Thromboplastinzeit"/>
        <s v="Fibrinogen"/>
        <s v="AT3"/>
        <s v="Thrombotest"/>
        <s v="Natrium"/>
        <s v="Kalium"/>
        <s v="Chlorid"/>
        <s v="Calzium"/>
        <s v="Phosphat im Serum"/>
        <s v="Magnesium"/>
        <s v="GOT "/>
        <s v="GPT"/>
        <s v="GGT"/>
        <s v="Alkalische Phosphatase"/>
        <s v="Cholinesterase"/>
        <s v="Creatinkinase"/>
        <s v="LDH"/>
        <s v="Amylase"/>
        <s v="Lipase im Serum"/>
        <s v="Kreatinin"/>
        <s v="Harnstoff"/>
        <s v="Harnsäure"/>
        <s v="Gesamtbilirubin"/>
        <s v="Indirektes Bilirubin"/>
        <s v="Direktes Bilirubin"/>
        <s v="Troponin I"/>
        <s v="Cholesterin"/>
        <s v="Triglyceride"/>
        <s v="HDL Cholesterin"/>
        <s v="LDL Cholesterin"/>
        <s v="Gesamteiweiß"/>
        <s v="Glucose"/>
        <s v="HBA1C Hitachi Vision"/>
        <s v="CRP"/>
        <s v="Albumin"/>
        <s v="PSA"/>
        <s v="freies PSA"/>
        <s v="CEA"/>
        <s v="CA 19-9"/>
        <s v="freies T3"/>
        <s v="freies T4"/>
        <s v="TSH"/>
        <s v="Brain Natriuretic Peptid"/>
        <s v="HIV"/>
        <s v="Blutgruppe komplett"/>
        <s v="Rhesusfaktor"/>
        <s v="Isoagglutinine"/>
        <s v="Antikörpersuchtest Enzym"/>
        <s v="Antikörpersuchtest LISS"/>
        <s v="Antigennachweis Patient"/>
        <s v="Harnstreifen"/>
        <s v="Harnsediment"/>
      </sharedItems>
    </cacheField>
    <cacheField name="KH 1" numFmtId="2">
      <sharedItems containsSemiMixedTypes="0" containsString="0" containsNumber="1" containsInteger="1" minValue="0" maxValue="63"/>
    </cacheField>
    <cacheField name="KH 2" numFmtId="2">
      <sharedItems containsSemiMixedTypes="0" containsString="0" containsNumber="1" containsInteger="1" minValue="0" maxValue="61"/>
    </cacheField>
    <cacheField name="KH 3" numFmtId="2">
      <sharedItems containsSemiMixedTypes="0" containsString="0" containsNumber="1" containsInteger="1" minValue="0" maxValue="87"/>
    </cacheField>
    <cacheField name="KH 4" numFmtId="2">
      <sharedItems containsSemiMixedTypes="0" containsString="0" containsNumber="1" containsInteger="1" minValue="0" maxValue="134"/>
    </cacheField>
    <cacheField name="KH 5" numFmtId="2">
      <sharedItems containsSemiMixedTypes="0" containsString="0" containsNumber="1" containsInteger="1" minValue="0" maxValue="33"/>
    </cacheField>
    <cacheField name="KH 6" numFmtId="2">
      <sharedItems containsSemiMixedTypes="0" containsString="0" containsNumber="1" containsInteger="1" minValue="0" maxValue="103"/>
    </cacheField>
    <cacheField name="KH 7" numFmtId="2">
      <sharedItems containsSemiMixedTypes="0" containsString="0" containsNumber="1" containsInteger="1" minValue="0" maxValue="122"/>
    </cacheField>
    <cacheField name="KH 8" numFmtId="2">
      <sharedItems containsSemiMixedTypes="0" containsString="0" containsNumber="1" containsInteger="1" minValue="0" maxValue="95"/>
    </cacheField>
    <cacheField name="GESAMT" numFmtId="2">
      <sharedItems containsSemiMixedTypes="0" containsString="0" containsNumber="1" containsInteger="1" minValue="10" maxValue="679"/>
    </cacheField>
    <cacheField name="GoÄ Punkte" numFmtId="2">
      <sharedItems containsSemiMixedTypes="0" containsString="0" containsNumber="1" containsInteger="1" minValue="0" maxValue="300"/>
    </cacheField>
    <cacheField name="Kosten pro Leistung in €" numFmtId="164">
      <sharedItems containsSemiMixedTypes="0" containsString="0" containsNumber="1" minValue="0" maxValue="17.486190000000001"/>
    </cacheField>
    <cacheField name="Kosten Gesamt" numFmtId="164">
      <sharedItems containsSemiMixedTypes="0" containsString="0" containsNumber="1" minValue="0" maxValue="6842.9290200000005"/>
    </cacheField>
    <cacheField name="Kosten im Schnitt" numFmtId="164">
      <sharedItems containsSemiMixedTypes="0" containsString="0" containsNumber="1" minValue="0" maxValue="855.36612750000006"/>
    </cacheField>
    <cacheField name="Kosten KH 1" numFmtId="164">
      <sharedItems containsSemiMixedTypes="0" containsString="0" containsNumber="1" minValue="0" maxValue="220.32599399999998"/>
    </cacheField>
    <cacheField name="Kosten KH 2" numFmtId="164">
      <sharedItems containsSemiMixedTypes="0" containsString="0" containsNumber="1" minValue="0" maxValue="213.33151799999999"/>
    </cacheField>
    <cacheField name="Kosten KH 3" numFmtId="164">
      <sharedItems containsSemiMixedTypes="0" containsString="0" containsNumber="1" minValue="0" maxValue="304.25970599999999"/>
    </cacheField>
    <cacheField name="Kosten KH 4" numFmtId="164">
      <sharedItems containsSemiMixedTypes="0" containsString="0" containsNumber="1" minValue="0" maxValue="468.62989199999998"/>
    </cacheField>
    <cacheField name="Kosten KH 5" numFmtId="164">
      <sharedItems containsSemiMixedTypes="0" containsString="0" containsNumber="1" minValue="0" maxValue="115.40885399999999"/>
    </cacheField>
    <cacheField name="Kosten KH 6" numFmtId="164">
      <sharedItems containsSemiMixedTypes="0" containsString="0" containsNumber="1" minValue="0" maxValue="360.21551399999998"/>
    </cacheField>
    <cacheField name="Kosten KH 7" numFmtId="164">
      <sharedItems containsSemiMixedTypes="0" containsString="0" containsNumber="1" minValue="0" maxValue="426.66303599999998"/>
    </cacheField>
    <cacheField name="Kosten KH 8" numFmtId="164">
      <sharedItems containsSemiMixedTypes="0" containsString="0" containsNumber="1" minValue="0" maxValue="332.23760999999996"/>
    </cacheField>
    <cacheField name="Leistungen pro Patient KH 1" numFmtId="2">
      <sharedItems containsSemiMixedTypes="0" containsString="0" containsNumber="1" minValue="0" maxValue="1.4651162790697674"/>
    </cacheField>
    <cacheField name="Abweichung vom Schnitt" numFmtId="2">
      <sharedItems containsSemiMixedTypes="0" containsString="0" containsNumber="1" minValue="-1" maxValue="2.1585192216421456"/>
    </cacheField>
    <cacheField name="Leistungen pro Patient KH 2" numFmtId="2">
      <sharedItems containsSemiMixedTypes="0" containsString="0" containsNumber="1" minValue="0" maxValue="1.1730769230769231"/>
    </cacheField>
    <cacheField name="Abweichung vom Schnitt2" numFmtId="2">
      <sharedItems containsSemiMixedTypes="0" containsString="0" containsNumber="1" minValue="-1" maxValue="4.5230542653223037E-2"/>
    </cacheField>
    <cacheField name="Leistungen pro Patient KH 3" numFmtId="2">
      <sharedItems containsSemiMixedTypes="0" containsString="0" containsNumber="1" minValue="0" maxValue="1.1012658227848102"/>
    </cacheField>
    <cacheField name="Abweichung vom Schnitt3" numFmtId="2">
      <sharedItems containsSemiMixedTypes="0" containsString="0" containsNumber="1" minValue="-1" maxValue="-1.8754311068026309E-2"/>
    </cacheField>
    <cacheField name="Leistungen pro Patient KH 4" numFmtId="2">
      <sharedItems containsSemiMixedTypes="0" containsString="0" containsNumber="1" minValue="0" maxValue="2.2711864406779663"/>
    </cacheField>
    <cacheField name="Abweichung vom Schnitt4" numFmtId="2">
      <sharedItems containsSemiMixedTypes="0" containsString="0" containsNumber="1" minValue="-1" maxValue="1.0236639125333866"/>
    </cacheField>
    <cacheField name="Leistungen pro Patient KH 5" numFmtId="2">
      <sharedItems containsSemiMixedTypes="0" containsString="0" containsNumber="1" minValue="0" maxValue="1.03125"/>
    </cacheField>
    <cacheField name="Abweichung vom Schnitt5" numFmtId="2">
      <sharedItems containsSemiMixedTypes="0" containsString="0" containsNumber="1" minValue="-1" maxValue="-8.113954344624455E-2"/>
    </cacheField>
    <cacheField name="Leistungen pro Patient KH 6" numFmtId="2">
      <sharedItems containsSemiMixedTypes="0" containsString="0" containsNumber="1" minValue="0" maxValue="0.75182481751824815"/>
    </cacheField>
    <cacheField name="Abweichung vom Schnitt6" numFmtId="2">
      <sharedItems containsSemiMixedTypes="0" containsString="0" containsNumber="1" minValue="-1" maxValue="-0.33011190780774657"/>
    </cacheField>
    <cacheField name="Leistungen pro Patient KH 7" numFmtId="2">
      <sharedItems containsSemiMixedTypes="0" containsString="0" containsNumber="1" minValue="0" maxValue="1.0608695652173914"/>
    </cacheField>
    <cacheField name="Abweichung vom Schnitt7" numFmtId="2">
      <sharedItems containsSemiMixedTypes="0" containsString="0" containsNumber="1" minValue="-1" maxValue="-5.474803099186782E-2"/>
    </cacheField>
    <cacheField name="Leistungen pro Patient KH 8" numFmtId="2">
      <sharedItems containsSemiMixedTypes="0" containsString="0" containsNumber="1" minValue="0" maxValue="1.0795454545454546"/>
    </cacheField>
    <cacheField name="Abweichung vom Schnitt8" numFmtId="2">
      <sharedItems containsSemiMixedTypes="0" containsString="0" containsNumber="1" minValue="-1" maxValue="-3.8107511045655407E-2"/>
    </cacheField>
    <cacheField name="Leistungen Gesamt" numFmtId="2">
      <sharedItems containsSemiMixedTypes="0" containsString="0" containsNumber="1" minValue="1.6528925619834711E-2" maxValue="1.12231404958677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63"/>
    <n v="61"/>
    <n v="87"/>
    <n v="133"/>
    <n v="32"/>
    <n v="103"/>
    <n v="105"/>
    <n v="95"/>
    <n v="679"/>
    <n v="60"/>
    <n v="3.4972379999999998"/>
    <n v="2374.6246019999999"/>
    <n v="296.82807524999998"/>
    <n v="220.32599399999998"/>
    <n v="213.33151799999999"/>
    <n v="304.25970599999999"/>
    <n v="465.132654"/>
    <n v="111.911616"/>
    <n v="360.21551399999998"/>
    <n v="367.20999"/>
    <n v="332.23760999999996"/>
    <n v="1.4651162790697674"/>
    <n v="0.30544233996643477"/>
    <n v="1.1730769230769231"/>
    <n v="4.5230542653223037E-2"/>
    <n v="1.1012658227848102"/>
    <n v="-1.8754311068026309E-2"/>
    <n v="2.2542372881355934"/>
    <n v="1.0085619430368689"/>
    <n v="1"/>
    <n v="-0.10898379970544926"/>
    <n v="0.75182481751824815"/>
    <n v="-0.33011190780774657"/>
    <n v="0.91304347826086951"/>
    <n v="-0.1864634692962798"/>
    <n v="1.0795454545454546"/>
    <n v="-3.8107511045655407E-2"/>
    <n v="1.1223140495867769"/>
  </r>
  <r>
    <x v="1"/>
    <n v="1"/>
    <n v="48"/>
    <n v="78"/>
    <n v="58"/>
    <n v="0"/>
    <n v="6"/>
    <n v="2"/>
    <n v="3"/>
    <n v="196"/>
    <n v="40"/>
    <n v="2.3314919999999999"/>
    <n v="456.97243199999997"/>
    <n v="57.121553999999996"/>
    <n v="3.4972379999999998"/>
    <n v="167.867424"/>
    <n v="272.78456399999999"/>
    <n v="202.83980399999999"/>
    <n v="0"/>
    <n v="20.983428"/>
    <n v="6.9944759999999997"/>
    <n v="10.491714"/>
    <n v="2.3255813953488372E-2"/>
    <n v="-0.92821547223540579"/>
    <n v="0.92307692307692313"/>
    <n v="-0.17752350742041464"/>
    <n v="0.98734177215189878"/>
    <n v="-0.12026248578512708"/>
    <n v="0.98305084745762716"/>
    <n v="-0.12408576920196702"/>
    <n v="0"/>
    <n v="-1"/>
    <n v="4.3795620437956206E-2"/>
    <n v="-0.96097739268782989"/>
    <n v="1.7391304347826087E-2"/>
    <n v="-0.98450406608183394"/>
    <n v="3.4090909090909088E-2"/>
    <n v="-0.96962444771723111"/>
    <n v="0.32396694214876032"/>
  </r>
  <r>
    <x v="2"/>
    <n v="45"/>
    <n v="51"/>
    <n v="82"/>
    <n v="71"/>
    <n v="33"/>
    <n v="102"/>
    <n v="122"/>
    <n v="91"/>
    <n v="597"/>
    <n v="50"/>
    <n v="2.9143650000000001"/>
    <n v="1739.8759050000001"/>
    <n v="217.48448812500001"/>
    <n v="157.37571"/>
    <n v="178.359138"/>
    <n v="286.77351599999997"/>
    <n v="248.30389799999998"/>
    <n v="115.40885399999999"/>
    <n v="356.718276"/>
    <n v="426.66303599999998"/>
    <n v="318.24865799999998"/>
    <n v="1.0465116279069768"/>
    <n v="6.0535234311090466E-2"/>
    <n v="0.98076923076923073"/>
    <n v="-0.12611872663419066"/>
    <n v="1.0379746835443038"/>
    <n v="-7.5147741466415702E-2"/>
    <n v="1.2033898305084745"/>
    <n v="7.2239834252764368E-2"/>
    <n v="1.03125"/>
    <n v="-8.113954344624455E-2"/>
    <n v="0.74452554744525545"/>
    <n v="-0.33661567569310824"/>
    <n v="1.0608695652173914"/>
    <n v="-5.474803099186782E-2"/>
    <n v="1.0340909090909092"/>
    <n v="-7.8608247422680411E-2"/>
    <n v="0.98677685950413219"/>
  </r>
  <r>
    <x v="3"/>
    <n v="0"/>
    <n v="51"/>
    <n v="82"/>
    <n v="71"/>
    <n v="33"/>
    <n v="0"/>
    <n v="19"/>
    <n v="0"/>
    <n v="256"/>
    <n v="0"/>
    <n v="0"/>
    <n v="0"/>
    <n v="0"/>
    <n v="0"/>
    <n v="178.359138"/>
    <n v="286.77351599999997"/>
    <n v="248.30389799999998"/>
    <n v="115.40885399999999"/>
    <n v="0"/>
    <n v="66.447521999999992"/>
    <n v="0"/>
    <n v="0"/>
    <n v="-1"/>
    <n v="0.98076923076923073"/>
    <n v="-0.12611872663419066"/>
    <n v="1.0379746835443038"/>
    <n v="-7.5147741466415702E-2"/>
    <n v="1.2033898305084745"/>
    <n v="7.2239834252764368E-2"/>
    <n v="1.03125"/>
    <n v="-8.113954344624455E-2"/>
    <n v="0"/>
    <n v="-1"/>
    <n v="0.16521739130434782"/>
    <n v="-0.85278862777742215"/>
    <n v="0"/>
    <n v="-1"/>
    <n v="0.42314049586776858"/>
  </r>
  <r>
    <x v="4"/>
    <n v="45"/>
    <n v="51"/>
    <n v="82"/>
    <n v="71"/>
    <n v="33"/>
    <n v="102"/>
    <n v="122"/>
    <n v="91"/>
    <n v="597"/>
    <n v="50"/>
    <n v="2.9143650000000001"/>
    <n v="1739.8759050000001"/>
    <n v="217.48448812500001"/>
    <n v="157.37571"/>
    <n v="178.359138"/>
    <n v="286.77351599999997"/>
    <n v="248.30389799999998"/>
    <n v="115.40885399999999"/>
    <n v="356.718276"/>
    <n v="426.66303599999998"/>
    <n v="318.24865799999998"/>
    <n v="1.0465116279069768"/>
    <n v="6.0535234311090466E-2"/>
    <n v="0.98076923076923073"/>
    <n v="-0.12611872663419066"/>
    <n v="1.0379746835443038"/>
    <n v="-7.5147741466415702E-2"/>
    <n v="1.2033898305084745"/>
    <n v="7.2239834252764368E-2"/>
    <n v="1.03125"/>
    <n v="-8.113954344624455E-2"/>
    <n v="0.74452554744525545"/>
    <n v="-0.33661567569310824"/>
    <n v="1.0608695652173914"/>
    <n v="-5.474803099186782E-2"/>
    <n v="1.0340909090909092"/>
    <n v="-7.8608247422680411E-2"/>
    <n v="0.98677685950413219"/>
  </r>
  <r>
    <x v="5"/>
    <n v="0"/>
    <n v="51"/>
    <n v="2"/>
    <n v="0"/>
    <n v="0"/>
    <n v="46"/>
    <n v="65"/>
    <n v="0"/>
    <n v="164"/>
    <n v="100"/>
    <n v="5.8287300000000002"/>
    <n v="955.91172000000006"/>
    <n v="119.48896500000001"/>
    <n v="0"/>
    <n v="178.359138"/>
    <n v="6.9944759999999997"/>
    <n v="0"/>
    <n v="0"/>
    <n v="160.87294799999998"/>
    <n v="227.32047"/>
    <n v="0"/>
    <n v="0"/>
    <n v="-1"/>
    <n v="0.98076923076923073"/>
    <n v="-0.12611872663419066"/>
    <n v="2.5316455696202531E-2"/>
    <n v="-0.9774426278406444"/>
    <n v="0"/>
    <n v="-1"/>
    <n v="0"/>
    <n v="-1"/>
    <n v="0.33576642335766421"/>
    <n v="-0.70082667727336245"/>
    <n v="0.56521739130434778"/>
    <n v="-0.49638214765960181"/>
    <n v="0"/>
    <n v="-1"/>
    <n v="0.27107438016528923"/>
  </r>
  <r>
    <x v="6"/>
    <n v="0"/>
    <n v="51"/>
    <n v="2"/>
    <n v="0"/>
    <n v="0"/>
    <n v="8"/>
    <n v="0"/>
    <n v="0"/>
    <n v="61"/>
    <n v="110"/>
    <n v="6.4116030000000004"/>
    <n v="391.10778300000004"/>
    <n v="48.888472875000005"/>
    <n v="0"/>
    <n v="178.359138"/>
    <n v="6.9944759999999997"/>
    <n v="0"/>
    <n v="0"/>
    <n v="27.977903999999999"/>
    <n v="0"/>
    <n v="0"/>
    <n v="0"/>
    <n v="-1"/>
    <n v="0.98076923076923073"/>
    <n v="-0.12611872663419066"/>
    <n v="2.5316455696202531E-2"/>
    <n v="-0.9774426278406444"/>
    <n v="0"/>
    <n v="-1"/>
    <n v="0"/>
    <n v="-1"/>
    <n v="5.8394160583941604E-2"/>
    <n v="-0.94796985691710656"/>
    <n v="0"/>
    <n v="-1"/>
    <n v="0"/>
    <n v="-1"/>
    <n v="0.10082644628099173"/>
  </r>
  <r>
    <x v="7"/>
    <n v="0"/>
    <n v="0"/>
    <n v="3"/>
    <n v="0"/>
    <n v="0"/>
    <n v="0"/>
    <n v="7"/>
    <n v="17"/>
    <n v="27"/>
    <n v="50"/>
    <n v="2.9143650000000001"/>
    <n v="78.687854999999999"/>
    <n v="9.8359818749999999"/>
    <n v="0"/>
    <n v="0"/>
    <n v="10.491714"/>
    <n v="0"/>
    <n v="0"/>
    <n v="0"/>
    <n v="24.480665999999999"/>
    <n v="59.453046000000001"/>
    <n v="0"/>
    <n v="-1"/>
    <n v="0"/>
    <n v="-1"/>
    <n v="3.7974683544303799E-2"/>
    <n v="-0.96616394176096643"/>
    <n v="0"/>
    <n v="-1"/>
    <n v="0"/>
    <n v="-1"/>
    <n v="0"/>
    <n v="-1"/>
    <n v="6.0869565217391307E-2"/>
    <n v="-0.94576423128641862"/>
    <n v="0.19318181818181818"/>
    <n v="-0.82787187039764365"/>
    <n v="4.4628099173553717E-2"/>
  </r>
  <r>
    <x v="8"/>
    <n v="54"/>
    <n v="58"/>
    <n v="86"/>
    <n v="67"/>
    <n v="29"/>
    <n v="98"/>
    <n v="60"/>
    <n v="70"/>
    <n v="522"/>
    <n v="30"/>
    <n v="1.7486189999999999"/>
    <n v="912.77911799999993"/>
    <n v="114.09738974999999"/>
    <n v="188.850852"/>
    <n v="202.83980399999999"/>
    <n v="300.76246800000001"/>
    <n v="234.31494599999999"/>
    <n v="101.41990199999999"/>
    <n v="342.72932399999996"/>
    <n v="209.83427999999998"/>
    <n v="244.80665999999999"/>
    <n v="1.2558139534883721"/>
    <n v="0.45549318364073771"/>
    <n v="1.1153846153846154"/>
    <n v="-6.174238133001061E-3"/>
    <n v="1.0886075949367089"/>
    <n v="-3.0032997147704226E-2"/>
    <n v="1.1355932203389831"/>
    <n v="1.1831956266693294E-2"/>
    <n v="0.90625"/>
    <n v="-0.19251656848306339"/>
    <n v="0.71532846715328469"/>
    <n v="-0.36263074723455491"/>
    <n v="0.52173913043478259"/>
    <n v="-0.53512198245501696"/>
    <n v="0.79545454545454541"/>
    <n v="-0.29123711340206193"/>
    <n v="0.86280991735537194"/>
  </r>
  <r>
    <x v="9"/>
    <n v="54"/>
    <n v="58"/>
    <n v="86"/>
    <n v="67"/>
    <n v="28"/>
    <n v="98"/>
    <n v="60"/>
    <n v="70"/>
    <n v="521"/>
    <n v="30"/>
    <n v="1.7486189999999999"/>
    <n v="911.03049899999996"/>
    <n v="113.878812375"/>
    <n v="188.850852"/>
    <n v="202.83980399999999"/>
    <n v="300.76246800000001"/>
    <n v="234.31494599999999"/>
    <n v="97.922663999999997"/>
    <n v="342.72932399999996"/>
    <n v="209.83427999999998"/>
    <n v="244.80665999999999"/>
    <n v="1.2558139534883721"/>
    <n v="0.45828683658438607"/>
    <n v="1.1153846153846154"/>
    <n v="-6.174238133001061E-3"/>
    <n v="1.0886075949367089"/>
    <n v="-3.0032997147704226E-2"/>
    <n v="1.1355932203389831"/>
    <n v="1.1831956266693294E-2"/>
    <n v="0.875"/>
    <n v="-0.22036082474226809"/>
    <n v="0.71532846715328469"/>
    <n v="-0.36263074723455491"/>
    <n v="0.52173913043478259"/>
    <n v="-0.53512198245501696"/>
    <n v="0.79545454545454541"/>
    <n v="-0.29123711340206193"/>
    <n v="0.8611570247933884"/>
  </r>
  <r>
    <x v="10"/>
    <n v="54"/>
    <n v="58"/>
    <n v="0"/>
    <n v="67"/>
    <n v="28"/>
    <n v="89"/>
    <n v="60"/>
    <n v="69"/>
    <n v="425"/>
    <n v="30"/>
    <n v="1.7486189999999999"/>
    <n v="743.16307499999994"/>
    <n v="92.895384374999992"/>
    <n v="188.850852"/>
    <n v="202.83980399999999"/>
    <n v="0"/>
    <n v="234.31494599999999"/>
    <n v="97.922663999999997"/>
    <n v="311.25418200000001"/>
    <n v="209.83427999999998"/>
    <n v="241.30942199999998"/>
    <n v="1.2558139534883721"/>
    <n v="0.78768809849521204"/>
    <n v="1.1153846153846154"/>
    <n v="-6.174238133001061E-3"/>
    <n v="0"/>
    <n v="-1"/>
    <n v="1.1355932203389831"/>
    <n v="1.1831956266693294E-2"/>
    <n v="0.875"/>
    <n v="-0.22036082474226809"/>
    <n v="0.64963503649635035"/>
    <n v="-0.42116465820281013"/>
    <n v="0.52173913043478259"/>
    <n v="-0.53512198245501696"/>
    <n v="0.78409090909090906"/>
    <n v="-0.30136229749631821"/>
    <n v="0.7024793388429752"/>
  </r>
  <r>
    <x v="11"/>
    <n v="54"/>
    <n v="53"/>
    <n v="86"/>
    <n v="67"/>
    <n v="28"/>
    <n v="82"/>
    <n v="62"/>
    <n v="70"/>
    <n v="502"/>
    <n v="40"/>
    <n v="2.3314919999999999"/>
    <n v="1170.4089839999999"/>
    <n v="146.30112299999999"/>
    <n v="188.850852"/>
    <n v="185.35361399999999"/>
    <n v="300.76246800000001"/>
    <n v="234.31494599999999"/>
    <n v="97.922663999999997"/>
    <n v="286.77351599999997"/>
    <n v="216.828756"/>
    <n v="244.80665999999999"/>
    <n v="1.2558139534883721"/>
    <n v="0.51348095988140452"/>
    <n v="1.0192307692307692"/>
    <n v="-9.184887277670796E-2"/>
    <n v="1.0886075949367089"/>
    <n v="-3.0032997147704226E-2"/>
    <n v="1.1355932203389831"/>
    <n v="1.1831956266693294E-2"/>
    <n v="0.875"/>
    <n v="-0.22036082474226809"/>
    <n v="0.59854014598540151"/>
    <n v="-0.46669103340034185"/>
    <n v="0.53913043478260869"/>
    <n v="-0.5196260485368509"/>
    <n v="0.79545454545454541"/>
    <n v="-0.29123711340206193"/>
    <n v="0.82975206611570251"/>
  </r>
  <r>
    <x v="12"/>
    <n v="1"/>
    <n v="1"/>
    <n v="0"/>
    <n v="0"/>
    <n v="0"/>
    <n v="53"/>
    <n v="0"/>
    <n v="2"/>
    <n v="57"/>
    <n v="40"/>
    <n v="2.3314919999999999"/>
    <n v="132.89504399999998"/>
    <n v="16.611880499999998"/>
    <n v="3.4972379999999998"/>
    <n v="3.4972379999999998"/>
    <n v="0"/>
    <n v="0"/>
    <n v="0"/>
    <n v="185.35361399999999"/>
    <n v="0"/>
    <n v="6.9944759999999997"/>
    <n v="2.3255813953488372E-2"/>
    <n v="-0.75316197470420232"/>
    <n v="1.9230769230769232E-2"/>
    <n v="-0.9828650730712587"/>
    <n v="0"/>
    <n v="-1"/>
    <n v="0"/>
    <n v="-1"/>
    <n v="0"/>
    <n v="-1"/>
    <n v="0.38686131386861317"/>
    <n v="-0.65530030207583068"/>
    <n v="0"/>
    <n v="-1"/>
    <n v="2.2727272727272728E-2"/>
    <n v="-0.97974963181148755"/>
    <n v="9.4214876033057851E-2"/>
  </r>
  <r>
    <x v="13"/>
    <n v="1"/>
    <n v="1"/>
    <n v="0"/>
    <n v="0"/>
    <n v="1"/>
    <n v="53"/>
    <n v="0"/>
    <n v="0"/>
    <n v="56"/>
    <n v="40"/>
    <n v="2.3314919999999999"/>
    <n v="130.56355199999999"/>
    <n v="16.320443999999998"/>
    <n v="3.4972379999999998"/>
    <n v="3.4972379999999998"/>
    <n v="0"/>
    <n v="0"/>
    <n v="3.4972379999999998"/>
    <n v="185.35361399999999"/>
    <n v="0"/>
    <n v="0"/>
    <n v="2.3255813953488372E-2"/>
    <n v="-0.74875415282392022"/>
    <n v="1.9230769230769232E-2"/>
    <n v="-0.9828650730712587"/>
    <n v="0"/>
    <n v="-1"/>
    <n v="0"/>
    <n v="-1"/>
    <n v="3.125E-2"/>
    <n v="-0.97215574374079528"/>
    <n v="0.38686131386861317"/>
    <n v="-0.65530030207583068"/>
    <n v="0"/>
    <n v="-1"/>
    <n v="0"/>
    <n v="-1"/>
    <n v="9.2561983471074374E-2"/>
  </r>
  <r>
    <x v="14"/>
    <n v="39"/>
    <n v="53"/>
    <n v="87"/>
    <n v="67"/>
    <n v="28"/>
    <n v="56"/>
    <n v="63"/>
    <n v="71"/>
    <n v="464"/>
    <n v="40"/>
    <n v="2.3314919999999999"/>
    <n v="1081.8122879999999"/>
    <n v="135.22653599999998"/>
    <n v="136.39228199999999"/>
    <n v="185.35361399999999"/>
    <n v="304.25970599999999"/>
    <n v="234.31494599999999"/>
    <n v="97.922663999999997"/>
    <n v="195.84532799999999"/>
    <n v="220.32599399999998"/>
    <n v="248.30389799999998"/>
    <n v="0.90697674418604646"/>
    <n v="0.1825882117080993"/>
    <n v="1.0192307692307692"/>
    <n v="-9.184887277670796E-2"/>
    <n v="1.1012658227848102"/>
    <n v="-1.8754311068026309E-2"/>
    <n v="1.1355932203389831"/>
    <n v="1.1831956266693294E-2"/>
    <n v="0.875"/>
    <n v="-0.22036082474226809"/>
    <n v="0.40875912408759124"/>
    <n v="-0.63578899841974568"/>
    <n v="0.54782608695652169"/>
    <n v="-0.51187808157776793"/>
    <n v="0.80681818181818177"/>
    <n v="-0.28111192930780571"/>
    <n v="0.76694214876033062"/>
  </r>
  <r>
    <x v="15"/>
    <n v="39"/>
    <n v="53"/>
    <n v="87"/>
    <n v="66"/>
    <n v="1"/>
    <n v="63"/>
    <n v="60"/>
    <n v="66"/>
    <n v="435"/>
    <n v="40"/>
    <n v="2.3314919999999999"/>
    <n v="1014.1990199999999"/>
    <n v="126.77487749999999"/>
    <n v="136.39228199999999"/>
    <n v="185.35361399999999"/>
    <n v="304.25970599999999"/>
    <n v="230.81770799999998"/>
    <n v="3.4972379999999998"/>
    <n v="220.32599399999998"/>
    <n v="209.83427999999998"/>
    <n v="230.81770799999998"/>
    <n v="0.90697674418604646"/>
    <n v="0.26142742582197259"/>
    <n v="1.0192307692307692"/>
    <n v="-9.184887277670796E-2"/>
    <n v="1.1012658227848102"/>
    <n v="-1.8754311068026309E-2"/>
    <n v="1.1186440677966101"/>
    <n v="-3.2700132298246736E-3"/>
    <n v="3.125E-2"/>
    <n v="-0.97215574374079528"/>
    <n v="0.45985401459854014"/>
    <n v="-0.5902626232222139"/>
    <n v="0.52173913043478259"/>
    <n v="-0.53512198245501696"/>
    <n v="0.75"/>
    <n v="-0.33173784977908694"/>
    <n v="0.71900826446280997"/>
  </r>
  <r>
    <x v="16"/>
    <n v="38"/>
    <n v="53"/>
    <n v="87"/>
    <n v="65"/>
    <n v="28"/>
    <n v="53"/>
    <n v="61"/>
    <n v="68"/>
    <n v="453"/>
    <n v="40"/>
    <n v="2.3314919999999999"/>
    <n v="1056.165876"/>
    <n v="132.0207345"/>
    <n v="132.89504399999998"/>
    <n v="185.35361399999999"/>
    <n v="304.25970599999999"/>
    <n v="227.32047"/>
    <n v="97.922663999999997"/>
    <n v="185.35361399999999"/>
    <n v="213.33151799999999"/>
    <n v="237.812184"/>
    <n v="0.88372093023255816"/>
    <n v="0.18024539247394628"/>
    <n v="1.0192307692307692"/>
    <n v="-9.184887277670796E-2"/>
    <n v="1.1012658227848102"/>
    <n v="-1.8754311068026309E-2"/>
    <n v="1.1016949152542372"/>
    <n v="-1.8371982726342443E-2"/>
    <n v="0.875"/>
    <n v="-0.22036082474226809"/>
    <n v="0.38686131386861317"/>
    <n v="-0.65530030207583068"/>
    <n v="0.5304347826086957"/>
    <n v="-0.52737401549593388"/>
    <n v="0.77272727272727271"/>
    <n v="-0.31148748159057443"/>
    <n v="0.74876033057851243"/>
  </r>
  <r>
    <x v="17"/>
    <n v="38"/>
    <n v="53"/>
    <n v="87"/>
    <n v="65"/>
    <n v="28"/>
    <n v="27"/>
    <n v="61"/>
    <n v="71"/>
    <n v="430"/>
    <n v="40"/>
    <n v="2.3314919999999999"/>
    <n v="1002.54156"/>
    <n v="125.317695"/>
    <n v="132.89504399999998"/>
    <n v="185.35361399999999"/>
    <n v="304.25970599999999"/>
    <n v="227.32047"/>
    <n v="97.922663999999997"/>
    <n v="94.425426000000002"/>
    <n v="213.33151799999999"/>
    <n v="248.30389799999998"/>
    <n v="0.88372093023255816"/>
    <n v="0.24337479718766911"/>
    <n v="1.0192307692307692"/>
    <n v="-9.184887277670796E-2"/>
    <n v="1.1012658227848102"/>
    <n v="-1.8754311068026309E-2"/>
    <n v="1.1016949152542372"/>
    <n v="-1.8371982726342443E-2"/>
    <n v="0.875"/>
    <n v="-0.22036082474226809"/>
    <n v="0.19708029197080293"/>
    <n v="-0.82439826709523456"/>
    <n v="0.5304347826086957"/>
    <n v="-0.52737401549593388"/>
    <n v="0.80681818181818177"/>
    <n v="-0.28111192930780571"/>
    <n v="0.71074380165289253"/>
  </r>
  <r>
    <x v="18"/>
    <n v="38"/>
    <n v="53"/>
    <n v="87"/>
    <n v="65"/>
    <n v="29"/>
    <n v="43"/>
    <n v="1"/>
    <n v="67"/>
    <n v="383"/>
    <n v="40"/>
    <n v="2.3314919999999999"/>
    <n v="892.96143599999994"/>
    <n v="111.62017949999999"/>
    <n v="132.89504399999998"/>
    <n v="185.35361399999999"/>
    <n v="304.25970599999999"/>
    <n v="227.32047"/>
    <n v="101.41990199999999"/>
    <n v="150.38123400000001"/>
    <n v="3.4972379999999998"/>
    <n v="234.31494599999999"/>
    <n v="0.88372093023255816"/>
    <n v="0.39595603861800965"/>
    <n v="1.0192307692307692"/>
    <n v="-9.184887277670796E-2"/>
    <n v="1.1012658227848102"/>
    <n v="-1.8754311068026309E-2"/>
    <n v="1.1016949152542372"/>
    <n v="-1.8371982726342443E-2"/>
    <n v="0.90625"/>
    <n v="-0.19251656848306339"/>
    <n v="0.31386861313868614"/>
    <n v="-0.72033798092944767"/>
    <n v="8.6956521739130436E-3"/>
    <n v="-0.99225203304091703"/>
    <n v="0.76136363636363635"/>
    <n v="-0.32161266568483071"/>
    <n v="0.6330578512396694"/>
  </r>
  <r>
    <x v="19"/>
    <n v="1"/>
    <n v="0"/>
    <n v="81"/>
    <n v="2"/>
    <n v="0"/>
    <n v="19"/>
    <n v="12"/>
    <n v="2"/>
    <n v="117"/>
    <n v="40"/>
    <n v="2.3314919999999999"/>
    <n v="272.78456399999999"/>
    <n v="34.098070499999999"/>
    <n v="3.4972379999999998"/>
    <n v="0"/>
    <n v="283.27627799999999"/>
    <n v="6.9944759999999997"/>
    <n v="0"/>
    <n v="66.447521999999992"/>
    <n v="41.966856"/>
    <n v="6.9944759999999997"/>
    <n v="2.3255813953488372E-2"/>
    <n v="-0.87974557741999604"/>
    <n v="0"/>
    <n v="-1"/>
    <n v="1.0253164556962024"/>
    <n v="-8.6426427546093615E-2"/>
    <n v="3.3898305084745763E-2"/>
    <n v="-0.96979606100696447"/>
    <n v="0"/>
    <n v="-1"/>
    <n v="0.13868613138686131"/>
    <n v="-0.876428410178128"/>
    <n v="0.10434782608695652"/>
    <n v="-0.9070243964910033"/>
    <n v="2.2727272727272728E-2"/>
    <n v="-0.97974963181148755"/>
    <n v="0.1933884297520661"/>
  </r>
  <r>
    <x v="20"/>
    <n v="2"/>
    <n v="53"/>
    <n v="87"/>
    <n v="67"/>
    <n v="26"/>
    <n v="25"/>
    <n v="63"/>
    <n v="70"/>
    <n v="393"/>
    <n v="40"/>
    <n v="2.3314919999999999"/>
    <n v="916.27635599999996"/>
    <n v="114.5345445"/>
    <n v="6.9944759999999997"/>
    <n v="185.35361399999999"/>
    <n v="304.25970599999999"/>
    <n v="234.31494599999999"/>
    <n v="90.928187999999992"/>
    <n v="87.430949999999996"/>
    <n v="220.32599399999998"/>
    <n v="244.80665999999999"/>
    <n v="4.6511627906976744E-2"/>
    <n v="-0.92839813006686789"/>
    <n v="1.0192307692307692"/>
    <n v="-9.184887277670796E-2"/>
    <n v="1.1012658227848102"/>
    <n v="-1.8754311068026309E-2"/>
    <n v="1.1355932203389831"/>
    <n v="1.1831956266693294E-2"/>
    <n v="0.8125"/>
    <n v="-0.27604933726067754"/>
    <n v="0.18248175182481752"/>
    <n v="-0.83740580286595789"/>
    <n v="0.54782608695652169"/>
    <n v="-0.51187808157776793"/>
    <n v="0.79545454545454541"/>
    <n v="-0.29123711340206193"/>
    <n v="0.64958677685950417"/>
  </r>
  <r>
    <x v="21"/>
    <n v="38"/>
    <n v="51"/>
    <n v="84"/>
    <n v="3"/>
    <n v="29"/>
    <n v="44"/>
    <n v="25"/>
    <n v="0"/>
    <n v="274"/>
    <n v="50"/>
    <n v="2.9143650000000001"/>
    <n v="798.53601000000003"/>
    <n v="99.817001250000004"/>
    <n v="132.89504399999998"/>
    <n v="178.359138"/>
    <n v="293.76799199999999"/>
    <n v="10.491714"/>
    <n v="101.41990199999999"/>
    <n v="153.87847199999999"/>
    <n v="87.430949999999996"/>
    <n v="0"/>
    <n v="0.88372093023255816"/>
    <n v="0.95128161602444417"/>
    <n v="0.98076923076923073"/>
    <n v="-0.12611872663419066"/>
    <n v="1.0632911392405062"/>
    <n v="-5.2590369307060063E-2"/>
    <n v="5.0847457627118647E-2"/>
    <n v="-0.95469409151044649"/>
    <n v="0.90625"/>
    <n v="-0.19251656848306339"/>
    <n v="0.32116788321167883"/>
    <n v="-0.7138342130440859"/>
    <n v="0.21739130434782608"/>
    <n v="-0.80630082602292374"/>
    <n v="0"/>
    <n v="-1"/>
    <n v="0.45289256198347105"/>
  </r>
  <r>
    <x v="22"/>
    <n v="37"/>
    <n v="51"/>
    <n v="84"/>
    <n v="3"/>
    <n v="29"/>
    <n v="43"/>
    <n v="25"/>
    <n v="0"/>
    <n v="272"/>
    <n v="50"/>
    <n v="2.9143650000000001"/>
    <n v="792.70728000000008"/>
    <n v="99.08841000000001"/>
    <n v="129.397806"/>
    <n v="178.359138"/>
    <n v="293.76799199999999"/>
    <n v="10.491714"/>
    <n v="101.41990199999999"/>
    <n v="150.38123400000001"/>
    <n v="87.430949999999996"/>
    <n v="0"/>
    <n v="0.86046511627906974"/>
    <n v="0.91390218878248963"/>
    <n v="0.98076923076923073"/>
    <n v="-0.12611872663419066"/>
    <n v="1.0632911392405062"/>
    <n v="-5.2590369307060063E-2"/>
    <n v="5.0847457627118647E-2"/>
    <n v="-0.95469409151044649"/>
    <n v="0.90625"/>
    <n v="-0.19251656848306339"/>
    <n v="0.31386861313868614"/>
    <n v="-0.72033798092944767"/>
    <n v="0.21739130434782608"/>
    <n v="-0.80630082602292374"/>
    <n v="0"/>
    <n v="-1"/>
    <n v="0.44958677685950416"/>
  </r>
  <r>
    <x v="23"/>
    <n v="55"/>
    <n v="58"/>
    <n v="86"/>
    <n v="67"/>
    <n v="29"/>
    <n v="97"/>
    <n v="60"/>
    <n v="71"/>
    <n v="523"/>
    <n v="40"/>
    <n v="2.3314919999999999"/>
    <n v="1219.370316"/>
    <n v="152.4212895"/>
    <n v="192.34808999999998"/>
    <n v="202.83980399999999"/>
    <n v="300.76246800000001"/>
    <n v="234.31494599999999"/>
    <n v="101.41990199999999"/>
    <n v="339.23208599999998"/>
    <n v="209.83427999999998"/>
    <n v="248.30389799999998"/>
    <n v="1.2790697674418605"/>
    <n v="0.47961225488016374"/>
    <n v="1.1153846153846154"/>
    <n v="-6.174238133001061E-3"/>
    <n v="1.0886075949367089"/>
    <n v="-3.0032997147704226E-2"/>
    <n v="1.1355932203389831"/>
    <n v="1.1831956266693294E-2"/>
    <n v="0.90625"/>
    <n v="-0.19251656848306339"/>
    <n v="0.70802919708029199"/>
    <n v="-0.36913451511991663"/>
    <n v="0.52173913043478259"/>
    <n v="-0.53512198245501696"/>
    <n v="0.80681818181818177"/>
    <n v="-0.28111192930780571"/>
    <n v="0.86446280991735536"/>
  </r>
  <r>
    <x v="24"/>
    <n v="55"/>
    <n v="58"/>
    <n v="86"/>
    <n v="67"/>
    <n v="28"/>
    <n v="91"/>
    <n v="29"/>
    <n v="66"/>
    <n v="480"/>
    <n v="40"/>
    <n v="2.3314919999999999"/>
    <n v="1119.11616"/>
    <n v="139.88952"/>
    <n v="192.34808999999998"/>
    <n v="202.83980399999999"/>
    <n v="300.76246800000001"/>
    <n v="234.31494599999999"/>
    <n v="97.922663999999997"/>
    <n v="318.24865799999998"/>
    <n v="101.41990199999999"/>
    <n v="230.81770799999998"/>
    <n v="1.2790697674418605"/>
    <n v="0.61216085271317833"/>
    <n v="1.1153846153846154"/>
    <n v="-6.174238133001061E-3"/>
    <n v="1.0886075949367089"/>
    <n v="-3.0032997147704226E-2"/>
    <n v="1.1355932203389831"/>
    <n v="1.1831956266693294E-2"/>
    <n v="0.875"/>
    <n v="-0.22036082474226809"/>
    <n v="0.66423357664233573"/>
    <n v="-0.40815712243208674"/>
    <n v="0.25217391304347825"/>
    <n v="-0.77530895818659151"/>
    <n v="0.75"/>
    <n v="-0.33173784977908694"/>
    <n v="0.79338842975206614"/>
  </r>
  <r>
    <x v="25"/>
    <n v="1"/>
    <n v="51"/>
    <n v="82"/>
    <n v="64"/>
    <n v="1"/>
    <n v="56"/>
    <n v="17"/>
    <n v="2"/>
    <n v="274"/>
    <n v="40"/>
    <n v="2.3314919999999999"/>
    <n v="638.82880799999998"/>
    <n v="79.853600999999998"/>
    <n v="3.4972379999999998"/>
    <n v="178.359138"/>
    <n v="286.77351599999997"/>
    <n v="223.82323199999999"/>
    <n v="3.4972379999999998"/>
    <n v="195.84532799999999"/>
    <n v="59.453046000000001"/>
    <n v="6.9944759999999997"/>
    <n v="2.3255813953488372E-2"/>
    <n v="-0.94865048378883043"/>
    <n v="0.98076923076923073"/>
    <n v="-0.12611872663419066"/>
    <n v="1.0379746835443038"/>
    <n v="-7.5147741466415702E-2"/>
    <n v="1.0847457627118644"/>
    <n v="-3.3473952222860211E-2"/>
    <n v="3.125E-2"/>
    <n v="-0.97215574374079528"/>
    <n v="0.40875912408759124"/>
    <n v="-0.63578899841974568"/>
    <n v="0.14782608695652175"/>
    <n v="-0.8682845616955881"/>
    <n v="2.2727272727272728E-2"/>
    <n v="-0.97974963181148755"/>
    <n v="0.45289256198347105"/>
  </r>
  <r>
    <x v="26"/>
    <n v="37"/>
    <n v="53"/>
    <n v="87"/>
    <n v="66"/>
    <n v="29"/>
    <n v="50"/>
    <n v="61"/>
    <n v="65"/>
    <n v="448"/>
    <n v="40"/>
    <n v="2.3314919999999999"/>
    <n v="1044.5084159999999"/>
    <n v="130.56355199999999"/>
    <n v="129.397806"/>
    <n v="185.35361399999999"/>
    <n v="304.25970599999999"/>
    <n v="230.81770799999998"/>
    <n v="101.41990199999999"/>
    <n v="174.86189999999999"/>
    <n v="213.33151799999999"/>
    <n v="227.32047"/>
    <n v="0.86046511627906974"/>
    <n v="0.16201204318936882"/>
    <n v="1.0192307692307692"/>
    <n v="-9.184887277670796E-2"/>
    <n v="1.1012658227848102"/>
    <n v="-1.8754311068026309E-2"/>
    <n v="1.1186440677966101"/>
    <n v="-3.2700132298246736E-3"/>
    <n v="0.90625"/>
    <n v="-0.19251656848306339"/>
    <n v="0.36496350364963503"/>
    <n v="-0.67481160573191579"/>
    <n v="0.5304347826086957"/>
    <n v="-0.52737401549593388"/>
    <n v="0.73863636363636365"/>
    <n v="-0.34186303387334321"/>
    <n v="0.740495867768595"/>
  </r>
  <r>
    <x v="27"/>
    <n v="0"/>
    <n v="0"/>
    <n v="0"/>
    <n v="0"/>
    <n v="0"/>
    <n v="0"/>
    <n v="1"/>
    <n v="15"/>
    <n v="16"/>
    <n v="0"/>
    <n v="0"/>
    <n v="0"/>
    <n v="0"/>
    <n v="0"/>
    <n v="0"/>
    <n v="0"/>
    <n v="0"/>
    <n v="0"/>
    <n v="0"/>
    <n v="3.4972379999999998"/>
    <n v="52.458569999999995"/>
    <n v="0"/>
    <n v="-1"/>
    <n v="0"/>
    <n v="-1"/>
    <n v="0"/>
    <n v="-1"/>
    <n v="0"/>
    <n v="-1"/>
    <n v="0"/>
    <n v="-1"/>
    <n v="0"/>
    <n v="-1"/>
    <n v="8.6956521739130436E-3"/>
    <n v="-0.99225203304091703"/>
    <n v="0.17045454545454544"/>
    <n v="-0.84812223858615621"/>
    <n v="2.6446280991735537E-2"/>
  </r>
  <r>
    <x v="28"/>
    <n v="0"/>
    <n v="0"/>
    <n v="0"/>
    <n v="0"/>
    <n v="0"/>
    <n v="12"/>
    <n v="1"/>
    <n v="15"/>
    <n v="28"/>
    <n v="70"/>
    <n v="4.0801109999999996"/>
    <n v="114.24310799999999"/>
    <n v="14.280388499999999"/>
    <n v="0"/>
    <n v="0"/>
    <n v="0"/>
    <n v="0"/>
    <n v="0"/>
    <n v="41.966856"/>
    <n v="3.4972379999999998"/>
    <n v="52.458569999999995"/>
    <n v="0"/>
    <n v="-1"/>
    <n v="0"/>
    <n v="-1"/>
    <n v="0"/>
    <n v="-1"/>
    <n v="0"/>
    <n v="-1"/>
    <n v="0"/>
    <n v="-1"/>
    <n v="8.7591240875912413E-2"/>
    <n v="-0.92195478537565967"/>
    <n v="8.6956521739130436E-3"/>
    <n v="-0.99225203304091703"/>
    <n v="0.17045454545454544"/>
    <n v="-0.84812223858615621"/>
    <n v="4.6280991735537187E-2"/>
  </r>
  <r>
    <x v="29"/>
    <n v="0"/>
    <n v="0"/>
    <n v="0"/>
    <n v="0"/>
    <n v="0"/>
    <n v="14"/>
    <n v="4"/>
    <n v="1"/>
    <n v="19"/>
    <n v="200"/>
    <n v="11.65746"/>
    <n v="221.49173999999999"/>
    <n v="27.686467499999999"/>
    <n v="0"/>
    <n v="0"/>
    <n v="0"/>
    <n v="0"/>
    <n v="0"/>
    <n v="48.961331999999999"/>
    <n v="13.988951999999999"/>
    <n v="3.4972379999999998"/>
    <n v="0"/>
    <n v="-1"/>
    <n v="0"/>
    <n v="-1"/>
    <n v="0"/>
    <n v="-1"/>
    <n v="0"/>
    <n v="-1"/>
    <n v="0"/>
    <n v="-1"/>
    <n v="0.10218978102189781"/>
    <n v="-0.90894724960493634"/>
    <n v="3.4782608695652174E-2"/>
    <n v="-0.96900813216366777"/>
    <n v="1.1363636363636364E-2"/>
    <n v="-0.98987481590574367"/>
    <n v="3.1404958677685953E-2"/>
  </r>
  <r>
    <x v="30"/>
    <n v="38"/>
    <n v="51"/>
    <n v="81"/>
    <n v="67"/>
    <n v="28"/>
    <n v="4"/>
    <n v="4"/>
    <n v="4"/>
    <n v="277"/>
    <n v="40"/>
    <n v="2.3314919999999999"/>
    <n v="645.82328399999994"/>
    <n v="80.727910499999993"/>
    <n v="132.89504399999998"/>
    <n v="178.359138"/>
    <n v="283.27627799999999"/>
    <n v="234.31494599999999"/>
    <n v="97.922663999999997"/>
    <n v="13.988951999999999"/>
    <n v="13.988951999999999"/>
    <n v="13.988951999999999"/>
    <n v="0.88372093023255816"/>
    <n v="0.93014860213248263"/>
    <n v="0.98076923076923073"/>
    <n v="-0.12611872663419066"/>
    <n v="1.0253164556962024"/>
    <n v="-8.6426427546093615E-2"/>
    <n v="1.1355932203389831"/>
    <n v="1.1831956266693294E-2"/>
    <n v="0.875"/>
    <n v="-0.22036082474226809"/>
    <n v="2.9197080291970802E-2"/>
    <n v="-0.97398492845855333"/>
    <n v="3.4782608695652174E-2"/>
    <n v="-0.96900813216366777"/>
    <n v="4.5454545454545456E-2"/>
    <n v="-0.959499263622975"/>
    <n v="0.45785123966942148"/>
  </r>
  <r>
    <x v="31"/>
    <n v="38"/>
    <n v="51"/>
    <n v="81"/>
    <n v="64"/>
    <n v="28"/>
    <n v="4"/>
    <n v="4"/>
    <n v="4"/>
    <n v="274"/>
    <n v="40"/>
    <n v="2.3314919999999999"/>
    <n v="638.82880799999998"/>
    <n v="79.853600999999998"/>
    <n v="132.89504399999998"/>
    <n v="178.359138"/>
    <n v="283.27627799999999"/>
    <n v="223.82323199999999"/>
    <n v="97.922663999999997"/>
    <n v="13.988951999999999"/>
    <n v="13.988951999999999"/>
    <n v="13.988951999999999"/>
    <n v="0.88372093023255816"/>
    <n v="0.95128161602444417"/>
    <n v="0.98076923076923073"/>
    <n v="-0.12611872663419066"/>
    <n v="1.0253164556962024"/>
    <n v="-8.6426427546093615E-2"/>
    <n v="1.0847457627118644"/>
    <n v="-3.3473952222860211E-2"/>
    <n v="0.875"/>
    <n v="-0.22036082474226809"/>
    <n v="2.9197080291970802E-2"/>
    <n v="-0.97398492845855333"/>
    <n v="3.4782608695652174E-2"/>
    <n v="-0.96900813216366777"/>
    <n v="4.5454545454545456E-2"/>
    <n v="-0.959499263622975"/>
    <n v="0.45289256198347105"/>
  </r>
  <r>
    <x v="32"/>
    <n v="2"/>
    <n v="0"/>
    <n v="1"/>
    <n v="2"/>
    <n v="0"/>
    <n v="4"/>
    <n v="4"/>
    <n v="4"/>
    <n v="17"/>
    <n v="40"/>
    <n v="2.3314919999999999"/>
    <n v="39.635363999999996"/>
    <n v="4.9544204999999994"/>
    <n v="6.9944759999999997"/>
    <n v="0"/>
    <n v="3.4972379999999998"/>
    <n v="6.9944759999999997"/>
    <n v="0"/>
    <n v="13.988951999999999"/>
    <n v="13.988951999999999"/>
    <n v="13.988951999999999"/>
    <n v="4.6511627906976744E-2"/>
    <n v="0.65526675786593691"/>
    <n v="0"/>
    <n v="-1"/>
    <n v="1.2658227848101266E-2"/>
    <n v="-0.98872131392032203"/>
    <n v="3.3898305084745763E-2"/>
    <n v="-0.96979606100696447"/>
    <n v="0"/>
    <n v="-1"/>
    <n v="2.9197080291970802E-2"/>
    <n v="-0.97398492845855333"/>
    <n v="3.4782608695652174E-2"/>
    <n v="-0.96900813216366777"/>
    <n v="4.5454545454545456E-2"/>
    <n v="-0.959499263622975"/>
    <n v="2.809917355371901E-2"/>
  </r>
  <r>
    <x v="33"/>
    <n v="1"/>
    <n v="0"/>
    <n v="1"/>
    <n v="2"/>
    <n v="0"/>
    <n v="4"/>
    <n v="4"/>
    <n v="4"/>
    <n v="16"/>
    <n v="40"/>
    <n v="2.3314919999999999"/>
    <n v="37.303871999999998"/>
    <n v="4.6629839999999998"/>
    <n v="3.4972379999999998"/>
    <n v="0"/>
    <n v="3.4972379999999998"/>
    <n v="6.9944759999999997"/>
    <n v="0"/>
    <n v="13.988951999999999"/>
    <n v="13.988951999999999"/>
    <n v="13.988951999999999"/>
    <n v="2.3255813953488372E-2"/>
    <n v="-0.12063953488372092"/>
    <n v="0"/>
    <n v="-1"/>
    <n v="1.2658227848101266E-2"/>
    <n v="-0.98872131392032203"/>
    <n v="3.3898305084745763E-2"/>
    <n v="-0.96979606100696447"/>
    <n v="0"/>
    <n v="-1"/>
    <n v="2.9197080291970802E-2"/>
    <n v="-0.97398492845855333"/>
    <n v="3.4782608695652174E-2"/>
    <n v="-0.96900813216366777"/>
    <n v="4.5454545454545456E-2"/>
    <n v="-0.959499263622975"/>
    <n v="2.6446280991735537E-2"/>
  </r>
  <r>
    <x v="34"/>
    <n v="39"/>
    <n v="53"/>
    <n v="82"/>
    <n v="60"/>
    <n v="28"/>
    <n v="47"/>
    <n v="26"/>
    <n v="2"/>
    <n v="337"/>
    <n v="30"/>
    <n v="1.7486189999999999"/>
    <n v="589.28460299999995"/>
    <n v="73.660575374999993"/>
    <n v="136.39228199999999"/>
    <n v="185.35361399999999"/>
    <n v="286.77351599999997"/>
    <n v="209.83427999999998"/>
    <n v="97.922663999999997"/>
    <n v="164.37018599999999"/>
    <n v="90.928187999999992"/>
    <n v="6.9944759999999997"/>
    <n v="0.90697674418604646"/>
    <n v="0.62825201849423751"/>
    <n v="1.0192307692307692"/>
    <n v="-9.184887277670796E-2"/>
    <n v="1.0379746835443038"/>
    <n v="-7.5147741466415702E-2"/>
    <n v="1.0169491525423728"/>
    <n v="-9.3881830208931483E-2"/>
    <n v="0.875"/>
    <n v="-0.22036082474226809"/>
    <n v="0.34306569343065696"/>
    <n v="-0.69432290938800079"/>
    <n v="0.22608695652173913"/>
    <n v="-0.79855285906384066"/>
    <n v="2.2727272727272728E-2"/>
    <n v="-0.97974963181148755"/>
    <n v="0.55702479338842981"/>
  </r>
  <r>
    <x v="35"/>
    <n v="39"/>
    <n v="58"/>
    <n v="81"/>
    <n v="62"/>
    <n v="29"/>
    <n v="77"/>
    <n v="11"/>
    <n v="64"/>
    <n v="421"/>
    <n v="40"/>
    <n v="2.3314919999999999"/>
    <n v="981.558132"/>
    <n v="122.6947665"/>
    <n v="136.39228199999999"/>
    <n v="202.83980399999999"/>
    <n v="283.27627799999999"/>
    <n v="216.828756"/>
    <n v="101.41990199999999"/>
    <n v="269.28732600000001"/>
    <n v="38.469617999999997"/>
    <n v="223.82323199999999"/>
    <n v="0.90697674418604646"/>
    <n v="0.30337513119372478"/>
    <n v="1.1153846153846154"/>
    <n v="-6.174238133001061E-3"/>
    <n v="1.0253164556962024"/>
    <n v="-8.6426427546093615E-2"/>
    <n v="1.0508474576271187"/>
    <n v="-6.3677891215895746E-2"/>
    <n v="0.90625"/>
    <n v="-0.19251656848306339"/>
    <n v="0.56204379562043794"/>
    <n v="-0.49920987282715035"/>
    <n v="9.5652173913043481E-2"/>
    <n v="-0.91477236345008639"/>
    <n v="0.72727272727272729"/>
    <n v="-0.35198821796759944"/>
    <n v="0.69586776859504129"/>
  </r>
  <r>
    <x v="36"/>
    <n v="3"/>
    <n v="3"/>
    <n v="4"/>
    <n v="3"/>
    <n v="1"/>
    <n v="0"/>
    <n v="1"/>
    <n v="4"/>
    <n v="19"/>
    <n v="200"/>
    <n v="11.65746"/>
    <n v="221.49173999999999"/>
    <n v="27.686467499999999"/>
    <n v="10.491714"/>
    <n v="10.491714"/>
    <n v="13.988951999999999"/>
    <n v="10.491714"/>
    <n v="3.4972379999999998"/>
    <n v="0"/>
    <n v="3.4972379999999998"/>
    <n v="13.988951999999999"/>
    <n v="6.9767441860465115E-2"/>
    <n v="1.2215422276621786"/>
    <n v="5.7692307692307696E-2"/>
    <n v="-0.94859521921377588"/>
    <n v="5.0632911392405063E-2"/>
    <n v="-0.95488525568128857"/>
    <n v="5.0847457627118647E-2"/>
    <n v="-0.95469409151044649"/>
    <n v="3.125E-2"/>
    <n v="-0.97215574374079528"/>
    <n v="0"/>
    <n v="-1"/>
    <n v="8.6956521739130436E-3"/>
    <n v="-0.99225203304091703"/>
    <n v="4.5454545454545456E-2"/>
    <n v="-0.959499263622975"/>
    <n v="3.1404958677685953E-2"/>
  </r>
  <r>
    <x v="37"/>
    <n v="49"/>
    <n v="59"/>
    <n v="86"/>
    <n v="134"/>
    <n v="32"/>
    <n v="94"/>
    <n v="62"/>
    <n v="71"/>
    <n v="587"/>
    <n v="200"/>
    <n v="11.65746"/>
    <n v="6842.9290200000005"/>
    <n v="855.36612750000006"/>
    <n v="171.36466199999998"/>
    <n v="206.337042"/>
    <n v="300.76246800000001"/>
    <n v="468.62989199999998"/>
    <n v="111.911616"/>
    <n v="328.74037199999998"/>
    <n v="216.828756"/>
    <n v="248.30389799999998"/>
    <n v="1.1395348837209303"/>
    <n v="0.17447803177370153"/>
    <n v="1.1346153846153846"/>
    <n v="1.0960688795740239E-2"/>
    <n v="1.0886075949367089"/>
    <n v="-3.0032997147704226E-2"/>
    <n v="2.2711864406779663"/>
    <n v="1.0236639125333866"/>
    <n v="1"/>
    <n v="-0.10898379970544926"/>
    <n v="0.68613138686131392"/>
    <n v="-0.38864581877600163"/>
    <n v="0.53913043478260869"/>
    <n v="-0.5196260485368509"/>
    <n v="0.80681818181818177"/>
    <n v="-0.28111192930780571"/>
    <n v="0.97024793388429753"/>
  </r>
  <r>
    <x v="38"/>
    <n v="1"/>
    <n v="0"/>
    <n v="0"/>
    <n v="0"/>
    <n v="26"/>
    <n v="16"/>
    <n v="25"/>
    <n v="0"/>
    <n v="68"/>
    <n v="150"/>
    <n v="8.7430950000000003"/>
    <n v="594.53046000000006"/>
    <n v="74.316307500000008"/>
    <n v="3.4972379999999998"/>
    <n v="0"/>
    <n v="0"/>
    <n v="0"/>
    <n v="90.928187999999992"/>
    <n v="55.955807999999998"/>
    <n v="87.430949999999996"/>
    <n v="0"/>
    <n v="2.3255813953488372E-2"/>
    <n v="-0.79309165526675784"/>
    <n v="0"/>
    <n v="-1"/>
    <n v="0"/>
    <n v="-1"/>
    <n v="0"/>
    <n v="-1"/>
    <n v="0.8125"/>
    <n v="-0.27604933726067754"/>
    <n v="0.11678832116788321"/>
    <n v="-0.895939713834213"/>
    <n v="0.21739130434782608"/>
    <n v="-0.80630082602292374"/>
    <n v="0"/>
    <n v="-1"/>
    <n v="0.11239669421487604"/>
  </r>
  <r>
    <x v="39"/>
    <n v="1"/>
    <n v="26"/>
    <n v="13"/>
    <n v="36"/>
    <n v="1"/>
    <n v="6"/>
    <n v="2"/>
    <n v="7"/>
    <n v="92"/>
    <n v="300"/>
    <n v="17.486190000000001"/>
    <n v="1608.72948"/>
    <n v="201.091185"/>
    <n v="3.4972379999999998"/>
    <n v="90.928187999999992"/>
    <n v="45.464093999999996"/>
    <n v="125.90056799999999"/>
    <n v="3.4972379999999998"/>
    <n v="20.983428"/>
    <n v="6.9944759999999997"/>
    <n v="24.480665999999999"/>
    <n v="2.3255813953488372E-2"/>
    <n v="-0.84706774519716876"/>
    <n v="0.5"/>
    <n v="-0.55449189985272462"/>
    <n v="0.16455696202531644"/>
    <n v="-0.85337708096418785"/>
    <n v="0.61016949152542377"/>
    <n v="-0.45632909812535882"/>
    <n v="3.125E-2"/>
    <n v="-0.97215574374079528"/>
    <n v="4.3795620437956206E-2"/>
    <n v="-0.96097739268782989"/>
    <n v="1.7391304347826087E-2"/>
    <n v="-0.98450406608183394"/>
    <n v="7.9545454545454544E-2"/>
    <n v="-0.9291237113402061"/>
    <n v="0.15206611570247933"/>
  </r>
  <r>
    <x v="40"/>
    <n v="0"/>
    <n v="5"/>
    <n v="5"/>
    <n v="0"/>
    <n v="0"/>
    <n v="4"/>
    <n v="0"/>
    <n v="2"/>
    <n v="16"/>
    <n v="300"/>
    <n v="17.486190000000001"/>
    <n v="279.77904000000001"/>
    <n v="34.972380000000001"/>
    <n v="0"/>
    <n v="17.486190000000001"/>
    <n v="17.486190000000001"/>
    <n v="0"/>
    <n v="0"/>
    <n v="13.988951999999999"/>
    <n v="0"/>
    <n v="6.9944759999999997"/>
    <n v="0"/>
    <n v="-1"/>
    <n v="9.6153846153846159E-2"/>
    <n v="-0.91432536535629305"/>
    <n v="6.3291139240506333E-2"/>
    <n v="-0.9436065696016106"/>
    <n v="0"/>
    <n v="-1"/>
    <n v="0"/>
    <n v="-1"/>
    <n v="2.9197080291970802E-2"/>
    <n v="-0.97398492845855333"/>
    <n v="0"/>
    <n v="-1"/>
    <n v="2.2727272727272728E-2"/>
    <n v="-0.97974963181148755"/>
    <n v="2.6446280991735537E-2"/>
  </r>
  <r>
    <x v="41"/>
    <n v="2"/>
    <n v="0"/>
    <n v="15"/>
    <n v="0"/>
    <n v="0"/>
    <n v="1"/>
    <n v="0"/>
    <n v="5"/>
    <n v="23"/>
    <n v="250"/>
    <n v="14.571825"/>
    <n v="335.15197499999999"/>
    <n v="41.893996874999999"/>
    <n v="6.9944759999999997"/>
    <n v="0"/>
    <n v="52.458569999999995"/>
    <n v="0"/>
    <n v="0"/>
    <n v="3.4972379999999998"/>
    <n v="0"/>
    <n v="17.486190000000001"/>
    <n v="4.6511627906976744E-2"/>
    <n v="0.22345803842264922"/>
    <n v="0"/>
    <n v="-1"/>
    <n v="0.189873417721519"/>
    <n v="-0.83081970880483214"/>
    <n v="0"/>
    <n v="-1"/>
    <n v="0"/>
    <n v="-1"/>
    <n v="7.2992700729927005E-3"/>
    <n v="-0.99349623211463822"/>
    <n v="0"/>
    <n v="-1"/>
    <n v="5.6818181818181816E-2"/>
    <n v="-0.94937407952871866"/>
    <n v="3.8016528925619832E-2"/>
  </r>
  <r>
    <x v="42"/>
    <n v="0"/>
    <n v="0"/>
    <n v="13"/>
    <n v="0"/>
    <n v="0"/>
    <n v="1"/>
    <n v="0"/>
    <n v="5"/>
    <n v="19"/>
    <n v="300"/>
    <n v="17.486190000000001"/>
    <n v="332.23761000000002"/>
    <n v="41.529701250000002"/>
    <n v="0"/>
    <n v="0"/>
    <n v="45.464093999999996"/>
    <n v="0"/>
    <n v="0"/>
    <n v="3.4972379999999998"/>
    <n v="0"/>
    <n v="17.486190000000001"/>
    <n v="0"/>
    <n v="-1"/>
    <n v="0"/>
    <n v="-1"/>
    <n v="0.16455696202531644"/>
    <n v="-0.85337708096418785"/>
    <n v="0"/>
    <n v="-1"/>
    <n v="0"/>
    <n v="-1"/>
    <n v="7.2992700729927005E-3"/>
    <n v="-0.99349623211463822"/>
    <n v="0"/>
    <n v="-1"/>
    <n v="5.6818181818181816E-2"/>
    <n v="-0.94937407952871866"/>
    <n v="3.1404958677685953E-2"/>
  </r>
  <r>
    <x v="43"/>
    <n v="3"/>
    <n v="2"/>
    <n v="1"/>
    <n v="2"/>
    <n v="2"/>
    <n v="1"/>
    <n v="14"/>
    <n v="6"/>
    <n v="31"/>
    <n v="250"/>
    <n v="14.571825"/>
    <n v="451.72657500000003"/>
    <n v="56.465821875000003"/>
    <n v="10.491714"/>
    <n v="6.9944759999999997"/>
    <n v="3.4972379999999998"/>
    <n v="6.9944759999999997"/>
    <n v="6.9944759999999997"/>
    <n v="3.4972379999999998"/>
    <n v="48.961331999999999"/>
    <n v="20.983428"/>
    <n v="6.9767441860465115E-2"/>
    <n v="0.36159039759939982"/>
    <n v="3.8461538461538464E-2"/>
    <n v="-0.96573014614251718"/>
    <n v="1.2658227848101266E-2"/>
    <n v="-0.98872131392032203"/>
    <n v="3.3898305084745763E-2"/>
    <n v="-0.96979606100696447"/>
    <n v="6.25E-2"/>
    <n v="-0.94431148748159055"/>
    <n v="7.2992700729927005E-3"/>
    <n v="-0.99349623211463822"/>
    <n v="0.12173913043478261"/>
    <n v="-0.89152846257283735"/>
    <n v="6.8181818181818177E-2"/>
    <n v="-0.93924889543446255"/>
    <n v="5.1239669421487603E-2"/>
  </r>
  <r>
    <x v="44"/>
    <n v="3"/>
    <n v="2"/>
    <n v="1"/>
    <n v="2"/>
    <n v="2"/>
    <n v="3"/>
    <n v="14"/>
    <n v="6"/>
    <n v="33"/>
    <n v="250"/>
    <n v="14.571825"/>
    <n v="480.870225"/>
    <n v="60.108778125000001"/>
    <n v="10.491714"/>
    <n v="6.9944759999999997"/>
    <n v="3.4972379999999998"/>
    <n v="6.9944759999999997"/>
    <n v="6.9944759999999997"/>
    <n v="10.491714"/>
    <n v="48.961331999999999"/>
    <n v="20.983428"/>
    <n v="6.9767441860465115E-2"/>
    <n v="0.27906976744186052"/>
    <n v="3.8461538461538464E-2"/>
    <n v="-0.96573014614251718"/>
    <n v="1.2658227848101266E-2"/>
    <n v="-0.98872131392032203"/>
    <n v="3.3898305084745763E-2"/>
    <n v="-0.96979606100696447"/>
    <n v="6.25E-2"/>
    <n v="-0.94431148748159055"/>
    <n v="2.1897810218978103E-2"/>
    <n v="-0.98048869634391489"/>
    <n v="0.12173913043478261"/>
    <n v="-0.89152846257283735"/>
    <n v="6.8181818181818177E-2"/>
    <n v="-0.93924889543446255"/>
    <n v="5.4545454545454543E-2"/>
  </r>
  <r>
    <x v="45"/>
    <n v="40"/>
    <n v="50"/>
    <n v="81"/>
    <n v="2"/>
    <n v="28"/>
    <n v="4"/>
    <n v="50"/>
    <n v="8"/>
    <n v="263"/>
    <n v="250"/>
    <n v="14.571825"/>
    <n v="3832.389975"/>
    <n v="479.04874687500001"/>
    <n v="139.88952"/>
    <n v="174.86189999999999"/>
    <n v="283.27627799999999"/>
    <n v="6.9944759999999997"/>
    <n v="97.922663999999997"/>
    <n v="13.988951999999999"/>
    <n v="174.86189999999999"/>
    <n v="27.977903999999999"/>
    <n v="0.93023255813953487"/>
    <n v="1.1398885843133788"/>
    <n v="0.96153846153846156"/>
    <n v="-0.14325365356293196"/>
    <n v="1.0253164556962024"/>
    <n v="-8.6426427546093615E-2"/>
    <n v="3.3898305084745763E-2"/>
    <n v="-0.96979606100696447"/>
    <n v="0.875"/>
    <n v="-0.22036082474226809"/>
    <n v="2.9197080291970802E-2"/>
    <n v="-0.97398492845855333"/>
    <n v="0.43478260869565216"/>
    <n v="-0.6126016520458476"/>
    <n v="9.0909090909090912E-2"/>
    <n v="-0.91899852724594999"/>
    <n v="0.43471074380165287"/>
  </r>
  <r>
    <x v="46"/>
    <n v="1"/>
    <n v="0"/>
    <n v="3"/>
    <n v="0"/>
    <n v="0"/>
    <n v="0"/>
    <n v="6"/>
    <n v="0"/>
    <n v="10"/>
    <n v="250"/>
    <n v="14.571825"/>
    <n v="145.71825000000001"/>
    <n v="18.214781250000001"/>
    <n v="3.4972379999999998"/>
    <n v="0"/>
    <n v="10.491714"/>
    <n v="0"/>
    <n v="0"/>
    <n v="0"/>
    <n v="20.983428"/>
    <n v="0"/>
    <n v="2.3255813953488372E-2"/>
    <n v="0.40697674418604646"/>
    <n v="0"/>
    <n v="-1"/>
    <n v="3.7974683544303799E-2"/>
    <n v="-0.96616394176096643"/>
    <n v="0"/>
    <n v="-1"/>
    <n v="0"/>
    <n v="-1"/>
    <n v="0"/>
    <n v="-1"/>
    <n v="5.2173913043478258E-2"/>
    <n v="-0.95351219824550182"/>
    <n v="0"/>
    <n v="-1"/>
    <n v="1.6528925619834711E-2"/>
  </r>
  <r>
    <x v="47"/>
    <n v="0"/>
    <n v="47"/>
    <n v="0"/>
    <n v="0"/>
    <n v="0"/>
    <n v="0"/>
    <n v="0"/>
    <n v="1"/>
    <n v="48"/>
    <n v="290"/>
    <n v="16.903317000000001"/>
    <n v="811.35921600000006"/>
    <n v="101.41990200000001"/>
    <n v="0"/>
    <n v="164.37018599999999"/>
    <n v="0"/>
    <n v="0"/>
    <n v="0"/>
    <n v="0"/>
    <n v="0"/>
    <n v="3.4972379999999998"/>
    <n v="0"/>
    <n v="-1"/>
    <n v="0.90384615384615385"/>
    <n v="-0.19465843434915606"/>
    <n v="0"/>
    <n v="-1"/>
    <n v="0"/>
    <n v="-1"/>
    <n v="0"/>
    <n v="-1"/>
    <n v="0"/>
    <n v="-1"/>
    <n v="0"/>
    <n v="-1"/>
    <n v="1.1363636363636364E-2"/>
    <n v="-0.98987481590574367"/>
    <n v="7.9338842975206617E-2"/>
  </r>
  <r>
    <x v="48"/>
    <n v="14"/>
    <n v="0"/>
    <n v="2"/>
    <n v="25"/>
    <n v="0"/>
    <n v="33"/>
    <n v="2"/>
    <n v="0"/>
    <n v="76"/>
    <n v="100"/>
    <n v="5.8287300000000002"/>
    <n v="442.98347999999999"/>
    <n v="55.372934999999998"/>
    <n v="48.961331999999999"/>
    <n v="0"/>
    <n v="6.9944759999999997"/>
    <n v="87.430949999999996"/>
    <n v="0"/>
    <n v="115.40885399999999"/>
    <n v="6.9944759999999997"/>
    <n v="0"/>
    <n v="0.32558139534883723"/>
    <n v="1.5917992656058753"/>
    <n v="0"/>
    <n v="-1"/>
    <n v="2.5316455696202531E-2"/>
    <n v="-0.9774426278406444"/>
    <n v="0.42372881355932202"/>
    <n v="-0.62245076258705478"/>
    <n v="0"/>
    <n v="-1"/>
    <n v="0.24087591240875914"/>
    <n v="-0.78537565978306434"/>
    <n v="1.7391304347826087E-2"/>
    <n v="-0.98450406608183394"/>
    <n v="0"/>
    <n v="-1"/>
    <n v="0.12561983471074381"/>
  </r>
  <r>
    <x v="49"/>
    <n v="14"/>
    <n v="0"/>
    <n v="2"/>
    <n v="24"/>
    <n v="0"/>
    <n v="32"/>
    <n v="2"/>
    <n v="0"/>
    <n v="74"/>
    <n v="120"/>
    <n v="6.9944759999999997"/>
    <n v="517.59122400000001"/>
    <n v="64.698903000000001"/>
    <n v="48.961331999999999"/>
    <n v="0"/>
    <n v="6.9944759999999997"/>
    <n v="83.933712"/>
    <n v="0"/>
    <n v="111.911616"/>
    <n v="6.9944759999999997"/>
    <n v="0"/>
    <n v="0.32558139534883723"/>
    <n v="1.6618478944060342"/>
    <n v="0"/>
    <n v="-1"/>
    <n v="2.5316455696202531E-2"/>
    <n v="-0.9774426278406444"/>
    <n v="0.40677966101694918"/>
    <n v="-0.63755273208357255"/>
    <n v="0"/>
    <n v="-1"/>
    <n v="0.23357664233576642"/>
    <n v="-0.79187942766842612"/>
    <n v="1.7391304347826087E-2"/>
    <n v="-0.98450406608183394"/>
    <n v="0"/>
    <n v="-1"/>
    <n v="0.12231404958677686"/>
  </r>
  <r>
    <x v="50"/>
    <n v="7"/>
    <n v="0"/>
    <n v="1"/>
    <n v="10"/>
    <n v="0"/>
    <n v="14"/>
    <n v="1"/>
    <n v="0"/>
    <n v="33"/>
    <n v="80"/>
    <n v="4.6629839999999998"/>
    <n v="153.87847199999999"/>
    <n v="19.234808999999998"/>
    <n v="24.480665999999999"/>
    <n v="0"/>
    <n v="3.4972379999999998"/>
    <n v="34.972380000000001"/>
    <n v="0"/>
    <n v="48.961331999999999"/>
    <n v="3.4972379999999998"/>
    <n v="0"/>
    <n v="0.16279069767441862"/>
    <n v="1.9844961240310082"/>
    <n v="0"/>
    <n v="-1"/>
    <n v="1.2658227848101266E-2"/>
    <n v="-0.98872131392032203"/>
    <n v="0.16949152542372881"/>
    <n v="-0.84898030503482191"/>
    <n v="0"/>
    <n v="-1"/>
    <n v="0.10218978102189781"/>
    <n v="-0.90894724960493634"/>
    <n v="8.6956521739130436E-3"/>
    <n v="-0.99225203304091703"/>
    <n v="0"/>
    <n v="-1"/>
    <n v="5.4545454545454543E-2"/>
  </r>
  <r>
    <x v="51"/>
    <n v="12"/>
    <n v="0"/>
    <n v="1"/>
    <n v="20"/>
    <n v="0"/>
    <n v="24"/>
    <n v="0"/>
    <n v="0"/>
    <n v="57"/>
    <n v="100"/>
    <n v="5.8287300000000002"/>
    <n v="332.23761000000002"/>
    <n v="41.529701250000002"/>
    <n v="41.966856"/>
    <n v="0"/>
    <n v="3.4972379999999998"/>
    <n v="69.944760000000002"/>
    <n v="0"/>
    <n v="83.933712"/>
    <n v="0"/>
    <n v="0"/>
    <n v="0.27906976744186046"/>
    <n v="1.9620563035495717"/>
    <n v="0"/>
    <n v="-1"/>
    <n v="1.2658227848101266E-2"/>
    <n v="-0.98872131392032203"/>
    <n v="0.33898305084745761"/>
    <n v="-0.69796061006964383"/>
    <n v="0"/>
    <n v="-1"/>
    <n v="0.17518248175182483"/>
    <n v="-0.84390957075131956"/>
    <n v="0"/>
    <n v="-1"/>
    <n v="0"/>
    <n v="-1"/>
    <n v="9.4214876033057851E-2"/>
  </r>
  <r>
    <x v="52"/>
    <n v="13"/>
    <n v="0"/>
    <n v="1"/>
    <n v="20"/>
    <n v="0"/>
    <n v="24"/>
    <n v="2"/>
    <n v="0"/>
    <n v="60"/>
    <n v="200"/>
    <n v="11.65746"/>
    <n v="699.44759999999997"/>
    <n v="87.430949999999996"/>
    <n v="45.464093999999996"/>
    <n v="0"/>
    <n v="3.4972379999999998"/>
    <n v="69.944760000000002"/>
    <n v="0"/>
    <n v="83.933712"/>
    <n v="6.9944759999999997"/>
    <n v="0"/>
    <n v="0.30232558139534882"/>
    <n v="2.0484496124031004"/>
    <n v="0"/>
    <n v="-1"/>
    <n v="1.2658227848101266E-2"/>
    <n v="-0.98872131392032203"/>
    <n v="0.33898305084745761"/>
    <n v="-0.69796061006964383"/>
    <n v="0"/>
    <n v="-1"/>
    <n v="0.17518248175182483"/>
    <n v="-0.84390957075131956"/>
    <n v="1.7391304347826087E-2"/>
    <n v="-0.98450406608183394"/>
    <n v="0"/>
    <n v="-1"/>
    <n v="9.9173553719008267E-2"/>
  </r>
  <r>
    <x v="53"/>
    <n v="7"/>
    <n v="0"/>
    <n v="2"/>
    <n v="9"/>
    <n v="0"/>
    <n v="15"/>
    <n v="0"/>
    <n v="0"/>
    <n v="33"/>
    <n v="200"/>
    <n v="11.65746"/>
    <n v="384.69618000000003"/>
    <n v="48.087022500000003"/>
    <n v="24.480665999999999"/>
    <n v="0"/>
    <n v="6.9944759999999997"/>
    <n v="31.475141999999998"/>
    <n v="0"/>
    <n v="52.458569999999995"/>
    <n v="0"/>
    <n v="0"/>
    <n v="0.16279069767441862"/>
    <n v="1.9844961240310082"/>
    <n v="0"/>
    <n v="-1"/>
    <n v="2.5316455696202531E-2"/>
    <n v="-0.9774426278406444"/>
    <n v="0.15254237288135594"/>
    <n v="-0.86408227453133968"/>
    <n v="0"/>
    <n v="-1"/>
    <n v="0.10948905109489052"/>
    <n v="-0.90244348171957478"/>
    <n v="0"/>
    <n v="-1"/>
    <n v="0"/>
    <n v="-1"/>
    <n v="5.4545454545454543E-2"/>
  </r>
  <r>
    <x v="54"/>
    <n v="33"/>
    <n v="49"/>
    <n v="3"/>
    <n v="60"/>
    <n v="4"/>
    <n v="2"/>
    <n v="8"/>
    <n v="82"/>
    <n v="241"/>
    <n v="35"/>
    <n v="2.0400554999999998"/>
    <n v="491.65337549999992"/>
    <n v="61.456671937499991"/>
    <n v="115.40885399999999"/>
    <n v="171.36466199999998"/>
    <n v="10.491714"/>
    <n v="209.83427999999998"/>
    <n v="13.988951999999999"/>
    <n v="6.9944759999999997"/>
    <n v="27.977903999999999"/>
    <n v="286.77351599999997"/>
    <n v="0.76744186046511631"/>
    <n v="0.92656566631284376"/>
    <n v="0.94230769230769229"/>
    <n v="-0.16038858049167334"/>
    <n v="3.7974683544303799E-2"/>
    <n v="-0.96616394176096643"/>
    <n v="1.0169491525423728"/>
    <n v="-9.3881830208931483E-2"/>
    <n v="0.125"/>
    <n v="-0.88862297496318121"/>
    <n v="1.4598540145985401E-2"/>
    <n v="-0.98699246422927667"/>
    <n v="6.9565217391304349E-2"/>
    <n v="-0.93801626432733554"/>
    <n v="0.93181818181818177"/>
    <n v="-0.16973490427098686"/>
    <n v="0.39834710743801655"/>
  </r>
  <r>
    <x v="55"/>
    <n v="33"/>
    <n v="49"/>
    <n v="1"/>
    <n v="60"/>
    <n v="2"/>
    <n v="0"/>
    <n v="0"/>
    <n v="2"/>
    <n v="147"/>
    <n v="50"/>
    <n v="2.9143650000000001"/>
    <n v="428.411655"/>
    <n v="53.551456875"/>
    <n v="115.40885399999999"/>
    <n v="171.36466199999998"/>
    <n v="3.4972379999999998"/>
    <n v="209.83427999999998"/>
    <n v="6.9944759999999997"/>
    <n v="0"/>
    <n v="0"/>
    <n v="6.9944759999999997"/>
    <n v="0.76744186046511631"/>
    <n v="2.1585192216421456"/>
    <n v="0.94230769230769229"/>
    <n v="-0.16038858049167334"/>
    <n v="1.2658227848101266E-2"/>
    <n v="-0.98872131392032203"/>
    <n v="1.0169491525423728"/>
    <n v="-9.3881830208931483E-2"/>
    <n v="6.25E-2"/>
    <n v="-0.94431148748159055"/>
    <n v="0"/>
    <n v="-1"/>
    <n v="0"/>
    <n v="-1"/>
    <n v="2.2727272727272728E-2"/>
    <n v="-0.97974963181148755"/>
    <n v="0.24297520661157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BE8C8-6D61-4BEC-AE3B-69A9B7E70436}" name="PivotTable2" cacheId="144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 chartFormat="1">
  <location ref="A8:C65" firstHeaderRow="0" firstDataRow="1" firstDataCol="1"/>
  <pivotFields count="39">
    <pivotField axis="axisRow" compact="0" outline="0" showAll="0">
      <items count="57">
        <item x="38"/>
        <item x="17"/>
        <item x="21"/>
        <item x="53"/>
        <item x="51"/>
        <item x="52"/>
        <item x="6"/>
        <item x="0"/>
        <item x="48"/>
        <item x="1"/>
        <item x="46"/>
        <item x="42"/>
        <item x="11"/>
        <item x="41"/>
        <item x="10"/>
        <item x="30"/>
        <item x="18"/>
        <item x="19"/>
        <item x="37"/>
        <item x="28"/>
        <item x="5"/>
        <item x="40"/>
        <item x="43"/>
        <item x="44"/>
        <item x="26"/>
        <item x="34"/>
        <item x="16"/>
        <item x="35"/>
        <item x="14"/>
        <item x="15"/>
        <item x="25"/>
        <item x="55"/>
        <item x="24"/>
        <item x="54"/>
        <item x="36"/>
        <item x="32"/>
        <item x="47"/>
        <item x="27"/>
        <item x="3"/>
        <item x="50"/>
        <item x="9"/>
        <item x="23"/>
        <item x="20"/>
        <item x="33"/>
        <item x="22"/>
        <item x="13"/>
        <item x="8"/>
        <item x="4"/>
        <item x="12"/>
        <item x="2"/>
        <item x="39"/>
        <item x="49"/>
        <item x="7"/>
        <item x="31"/>
        <item x="29"/>
        <item x="45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Kosten KH 6" fld="19" baseField="0" baseItem="0" numFmtId="164"/>
    <dataField name="Summe von Kosten im Schnitt" fld="13" baseField="0" baseItem="0" numFmtId="164"/>
  </dataFields>
  <chartFormats count="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DBDDC-9D40-4B03-A276-03BD2B77AF4D}" name="Tabelle1" displayName="Tabelle1" ref="A4:AO60" totalsRowShown="0" headerRowDxfId="42" tableBorderDxfId="41">
  <autoFilter ref="A4:AO60" xr:uid="{0B4DBDDC-9D40-4B03-A276-03BD2B77AF4D}"/>
  <tableColumns count="41">
    <tableColumn id="28" xr3:uid="{2A64ABDF-2346-4530-9D67-355DCCCA2FD8}" name="Leistung" dataDxfId="40"/>
    <tableColumn id="29" xr3:uid="{982CD694-181F-4D0D-B0D6-97F144879F88}" name="KH 1" dataDxfId="39"/>
    <tableColumn id="30" xr3:uid="{357C79EA-B779-421E-B35B-1D69B632D81E}" name="KH 2" dataDxfId="38"/>
    <tableColumn id="31" xr3:uid="{A9CB788E-FD0D-4B20-BF22-C85BB7C3579E}" name="KH 3" dataDxfId="37"/>
    <tableColumn id="32" xr3:uid="{343B50FA-7890-40DD-B881-763150B2BD4B}" name="KH 4" dataDxfId="36"/>
    <tableColumn id="33" xr3:uid="{D30FE15E-10A4-459A-A8B4-3F94E73520BF}" name="KH 5" dataDxfId="35"/>
    <tableColumn id="34" xr3:uid="{3B8B4D67-D4CF-49FA-8B39-3E4455543100}" name="KH 6" dataDxfId="34"/>
    <tableColumn id="35" xr3:uid="{032DD0EB-9EFD-4A8A-9391-D3CDBBEC62F0}" name="KH 7" dataDxfId="33"/>
    <tableColumn id="36" xr3:uid="{CAB5DB54-411D-4F5F-B39F-34C99FB585C3}" name="KH 8" dataDxfId="32"/>
    <tableColumn id="37" xr3:uid="{433FC873-26F2-4AEF-9832-B2C2E2F680A5}" name="GESAMT" dataDxfId="31">
      <calculatedColumnFormula>SUM(B5:I5)</calculatedColumnFormula>
    </tableColumn>
    <tableColumn id="38" xr3:uid="{F06E1D4A-C801-4929-AB89-4B0E0461F5CA}" name="GoÄ Punkte" dataDxfId="30"/>
    <tableColumn id="1" xr3:uid="{007C727D-157C-4EAE-9030-0ED7FFA4C727}" name="Kosten pro Leistung in €" dataDxfId="29">
      <calculatedColumnFormula>K5*$B$2</calculatedColumnFormula>
    </tableColumn>
    <tableColumn id="2" xr3:uid="{0D998471-0F27-4020-84B3-6DAFA16EC642}" name="Kosten Gesamt" dataDxfId="28">
      <calculatedColumnFormula>J5*L5</calculatedColumnFormula>
    </tableColumn>
    <tableColumn id="40" xr3:uid="{6801721A-7534-4937-B499-B9549435D943}" name="Kosten Pro Patient" dataDxfId="27">
      <calculatedColumnFormula>Tabelle1[[#This Row],[Kosten Gesamt]]/$J$3</calculatedColumnFormula>
    </tableColumn>
    <tableColumn id="39" xr3:uid="{1FB7ECF6-15DC-4F77-9B41-B07F68C3623E}" name="Kosten im Schnitt" dataDxfId="26">
      <calculatedColumnFormula>Tabelle1[[#This Row],[Kosten Gesamt]]/8</calculatedColumnFormula>
    </tableColumn>
    <tableColumn id="3" xr3:uid="{A74EB1F0-0966-4EBE-A227-B1C6681BD10E}" name="Kosten KH 1" dataDxfId="25">
      <calculatedColumnFormula>B5*$L$5</calculatedColumnFormula>
    </tableColumn>
    <tableColumn id="4" xr3:uid="{057A3FBD-2796-4FDA-9251-814083FEAE32}" name="Kosten KH 2" dataDxfId="24">
      <calculatedColumnFormula>C5*$L$5</calculatedColumnFormula>
    </tableColumn>
    <tableColumn id="5" xr3:uid="{E3B5A20C-29D0-417E-914B-4DD61D02F6B2}" name="Kosten KH 3" dataDxfId="23">
      <calculatedColumnFormula>D5*$L$5</calculatedColumnFormula>
    </tableColumn>
    <tableColumn id="6" xr3:uid="{7F6EAA08-693A-49A3-89BD-D289B994C8D8}" name="Kosten KH 4" dataDxfId="22">
      <calculatedColumnFormula>E5*$L$5</calculatedColumnFormula>
    </tableColumn>
    <tableColumn id="7" xr3:uid="{BC7D88FF-1B5F-4677-A31B-45551DBD3965}" name="Kosten KH 5" dataDxfId="21">
      <calculatedColumnFormula>F5*$L$5</calculatedColumnFormula>
    </tableColumn>
    <tableColumn id="8" xr3:uid="{1D3784BF-1C91-4763-9A64-E7DEC1C7C57A}" name="Kosten KH 6" dataDxfId="20">
      <calculatedColumnFormula>G5*$L$5</calculatedColumnFormula>
    </tableColumn>
    <tableColumn id="41" xr3:uid="{0D2C85E5-39EE-4876-ADE2-C72A59BD8B23}" name="Kosten pro Patient KH6" dataDxfId="19">
      <calculatedColumnFormula>Tabelle1[[#This Row],[Kosten KH 6]]/$G$3</calculatedColumnFormula>
    </tableColumn>
    <tableColumn id="9" xr3:uid="{2CDE168B-A688-47BA-A3C6-F8B0FC31FF76}" name="Kosten KH 7" dataDxfId="18">
      <calculatedColumnFormula>H5*$L$5</calculatedColumnFormula>
    </tableColumn>
    <tableColumn id="10" xr3:uid="{684CC34C-75E1-4EB2-B1C8-78325B42A2DE}" name="Kosten KH 8" dataDxfId="17">
      <calculatedColumnFormula>I5*$L$5</calculatedColumnFormula>
    </tableColumn>
    <tableColumn id="11" xr3:uid="{550CA8F9-2517-4117-A62C-FFEB950C7368}" name="Leistungen pro Patient KH 1" dataDxfId="16">
      <calculatedColumnFormula>B5/B$3</calculatedColumnFormula>
    </tableColumn>
    <tableColumn id="12" xr3:uid="{C9C721AC-87AF-47FE-B8F6-1494AD7F77B3}" name="Abweichung vom Schnitt" dataDxfId="15">
      <calculatedColumnFormula>((Y5-AO5)/AO5)</calculatedColumnFormula>
    </tableColumn>
    <tableColumn id="13" xr3:uid="{89AA2FF2-DA95-4C5B-82E7-6638B2AF8118}" name="Leistungen pro Patient KH 2" dataDxfId="14">
      <calculatedColumnFormula>C5/C$3</calculatedColumnFormula>
    </tableColumn>
    <tableColumn id="14" xr3:uid="{4C512119-6ECE-456A-9C7D-69CB73FDA393}" name="Abweichung vom Schnitt2" dataDxfId="13">
      <calculatedColumnFormula>((AA5-$AO$5)/$AO$5)</calculatedColumnFormula>
    </tableColumn>
    <tableColumn id="15" xr3:uid="{F52E188B-9D05-4003-9D99-7F25F818C228}" name="Leistungen pro Patient KH 3" dataDxfId="12">
      <calculatedColumnFormula>D5/D$3</calculatedColumnFormula>
    </tableColumn>
    <tableColumn id="16" xr3:uid="{B0A46CE9-F8C2-4701-9AEA-F7341B5918A9}" name="Abweichung vom Schnitt3" dataDxfId="11">
      <calculatedColumnFormula>((AC5-$AO$5)/$AO$5)</calculatedColumnFormula>
    </tableColumn>
    <tableColumn id="17" xr3:uid="{16D0FDF3-3309-4FB1-A4EB-E55317EBB41C}" name="Leistungen pro Patient KH 4" dataDxfId="10">
      <calculatedColumnFormula>E5/E$3</calculatedColumnFormula>
    </tableColumn>
    <tableColumn id="18" xr3:uid="{BD758913-C548-486B-9D29-0FA62986E434}" name="Abweichung vom Schnitt4" dataDxfId="9">
      <calculatedColumnFormula>((AE5-$AO$5)/$AO$5)</calculatedColumnFormula>
    </tableColumn>
    <tableColumn id="19" xr3:uid="{59888F76-6816-4D3E-A5E8-83E562531FE6}" name="Leistungen pro Patient KH 5" dataDxfId="8">
      <calculatedColumnFormula>F5/F$3</calculatedColumnFormula>
    </tableColumn>
    <tableColumn id="20" xr3:uid="{AE3855A8-3238-4155-8E1C-5F3BD4906F5E}" name="Abweichung vom Schnitt5" dataDxfId="7">
      <calculatedColumnFormula>((AG5-$AO$5)/$AO$5)</calculatedColumnFormula>
    </tableColumn>
    <tableColumn id="21" xr3:uid="{01F7AB46-187A-4156-AD19-9A0B64FB5D2C}" name="Leistungen pro Patient KH 6" dataDxfId="6">
      <calculatedColumnFormula>G5/G$3</calculatedColumnFormula>
    </tableColumn>
    <tableColumn id="22" xr3:uid="{8430A4D8-0281-42DD-9CDE-4C79ED96B56B}" name="Abweichung vom Schnitt6" dataDxfId="5">
      <calculatedColumnFormula>((AI5-$AO$5)/$AO$5)</calculatedColumnFormula>
    </tableColumn>
    <tableColumn id="23" xr3:uid="{14B50C41-464B-4407-BE1E-A7F87EC49604}" name="Leistungen pro Patient KH 7" dataDxfId="4">
      <calculatedColumnFormula>H5/H$3</calculatedColumnFormula>
    </tableColumn>
    <tableColumn id="24" xr3:uid="{67E1C2AA-2C8E-413F-A70F-240937F0BD9C}" name="Abweichung vom Schnitt7" dataDxfId="3">
      <calculatedColumnFormula>((AK5-$AO$5)/$AO$5)</calculatedColumnFormula>
    </tableColumn>
    <tableColumn id="25" xr3:uid="{948DBD09-6C73-4847-8D0D-5AC1D98E2D71}" name="Leistungen pro Patient KH 8" dataDxfId="2">
      <calculatedColumnFormula>I5/I$3</calculatedColumnFormula>
    </tableColumn>
    <tableColumn id="26" xr3:uid="{8014973A-E57C-440F-8D05-436946934709}" name="Abweichung vom Schnitt8" dataDxfId="1">
      <calculatedColumnFormula>((AM5-$AO$5)/$AO$5)</calculatedColumnFormula>
    </tableColumn>
    <tableColumn id="27" xr3:uid="{5389EA6B-4D57-4BB4-8876-6E9EA307BEE4}" name="Leistungen Gesamt" dataDxfId="0">
      <calculatedColumnFormula>SUM(B5:I5)/SUM($B$3:$I$3)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0"/>
  <sheetViews>
    <sheetView tabSelected="1" topLeftCell="A102" zoomScaleNormal="100" workbookViewId="0">
      <selection activeCell="S190" sqref="S190"/>
    </sheetView>
  </sheetViews>
  <sheetFormatPr defaultColWidth="9.140625" defaultRowHeight="15"/>
  <cols>
    <col min="1" max="1" width="26.7109375" bestFit="1" customWidth="1"/>
    <col min="2" max="2" width="9.28515625" bestFit="1" customWidth="1"/>
    <col min="11" max="11" width="11.7109375" customWidth="1"/>
    <col min="12" max="12" width="24.5703125" customWidth="1"/>
    <col min="13" max="13" width="17" customWidth="1"/>
    <col min="14" max="14" width="16" customWidth="1"/>
    <col min="15" max="15" width="14.140625" customWidth="1"/>
    <col min="16" max="21" width="13.85546875" bestFit="1" customWidth="1"/>
    <col min="22" max="22" width="28.140625" bestFit="1" customWidth="1"/>
    <col min="23" max="23" width="17.85546875" customWidth="1"/>
    <col min="24" max="24" width="19.28515625" customWidth="1"/>
    <col min="25" max="25" width="14.42578125" customWidth="1"/>
    <col min="26" max="26" width="18.5703125" customWidth="1"/>
    <col min="27" max="27" width="16.7109375" customWidth="1"/>
    <col min="28" max="28" width="28.140625" bestFit="1" customWidth="1"/>
    <col min="29" max="29" width="17.28515625" customWidth="1"/>
    <col min="30" max="30" width="28.140625" bestFit="1" customWidth="1"/>
    <col min="31" max="31" width="19.5703125" customWidth="1"/>
    <col min="32" max="32" width="28.140625" bestFit="1" customWidth="1"/>
    <col min="33" max="33" width="17.28515625" customWidth="1"/>
    <col min="34" max="34" width="28.140625" bestFit="1" customWidth="1"/>
    <col min="35" max="35" width="15.42578125" customWidth="1"/>
    <col min="36" max="36" width="28.140625" bestFit="1" customWidth="1"/>
    <col min="37" max="37" width="27" customWidth="1"/>
    <col min="38" max="38" width="20.42578125" bestFit="1" customWidth="1"/>
    <col min="39" max="39" width="29" customWidth="1"/>
  </cols>
  <sheetData>
    <row r="1" spans="1:4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41">
      <c r="A2" s="2" t="s">
        <v>0</v>
      </c>
      <c r="B2" s="2">
        <v>5.82873E-2</v>
      </c>
      <c r="C2" s="1"/>
      <c r="D2" s="1"/>
      <c r="E2" s="1"/>
      <c r="F2" s="1"/>
      <c r="G2" s="1"/>
      <c r="H2" s="1"/>
      <c r="I2" s="1"/>
      <c r="J2" s="1"/>
      <c r="K2" s="1"/>
    </row>
    <row r="3" spans="1:41">
      <c r="A3" s="4" t="s">
        <v>1</v>
      </c>
      <c r="B3" s="6">
        <v>43</v>
      </c>
      <c r="C3" s="6">
        <v>52</v>
      </c>
      <c r="D3" s="6">
        <v>79</v>
      </c>
      <c r="E3" s="6">
        <v>59</v>
      </c>
      <c r="F3" s="7">
        <v>32</v>
      </c>
      <c r="G3" s="7">
        <v>137</v>
      </c>
      <c r="H3" s="7">
        <v>115</v>
      </c>
      <c r="I3" s="7">
        <v>88</v>
      </c>
      <c r="J3" s="4">
        <f>SUM(B3:I3)</f>
        <v>605</v>
      </c>
      <c r="K3" s="4"/>
    </row>
    <row r="4" spans="1:41" s="8" customFormat="1" ht="45.7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14" t="s">
        <v>12</v>
      </c>
      <c r="L4" s="10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 t="s">
        <v>33</v>
      </c>
      <c r="AG4" s="8" t="s">
        <v>34</v>
      </c>
      <c r="AH4" s="8" t="s">
        <v>35</v>
      </c>
      <c r="AI4" s="8" t="s">
        <v>36</v>
      </c>
      <c r="AJ4" s="8" t="s">
        <v>37</v>
      </c>
      <c r="AK4" s="8" t="s">
        <v>38</v>
      </c>
      <c r="AL4" s="8" t="s">
        <v>39</v>
      </c>
      <c r="AM4" s="8" t="s">
        <v>40</v>
      </c>
      <c r="AN4" s="8" t="s">
        <v>41</v>
      </c>
      <c r="AO4" s="8" t="s">
        <v>42</v>
      </c>
    </row>
    <row r="5" spans="1:41">
      <c r="A5" s="12" t="s">
        <v>43</v>
      </c>
      <c r="B5" s="12">
        <v>63</v>
      </c>
      <c r="C5" s="12">
        <v>61</v>
      </c>
      <c r="D5" s="12">
        <v>87</v>
      </c>
      <c r="E5" s="12">
        <v>133</v>
      </c>
      <c r="F5" s="12">
        <v>32</v>
      </c>
      <c r="G5" s="12">
        <v>103</v>
      </c>
      <c r="H5" s="12">
        <v>105</v>
      </c>
      <c r="I5" s="12">
        <v>95</v>
      </c>
      <c r="J5" s="12">
        <f>SUM(B5:I5)</f>
        <v>679</v>
      </c>
      <c r="K5" s="13">
        <v>60</v>
      </c>
      <c r="L5" s="5">
        <f>K5*$B$2</f>
        <v>3.4972379999999998</v>
      </c>
      <c r="M5" s="5">
        <f>J5*L5</f>
        <v>2374.6246019999999</v>
      </c>
      <c r="N5" s="5">
        <f>Tabelle1[[#This Row],[Kosten Gesamt]]/$J$3</f>
        <v>3.9249993421487601</v>
      </c>
      <c r="O5" s="5">
        <f>Tabelle1[[#This Row],[Kosten Gesamt]]/8</f>
        <v>296.82807524999998</v>
      </c>
      <c r="P5" s="5">
        <f>B5*$L$5</f>
        <v>220.32599399999998</v>
      </c>
      <c r="Q5" s="5">
        <f>C5*$L$5</f>
        <v>213.33151799999999</v>
      </c>
      <c r="R5" s="5">
        <f t="shared" ref="R5:U20" si="0">D5*$L$5</f>
        <v>304.25970599999999</v>
      </c>
      <c r="S5" s="5">
        <f t="shared" si="0"/>
        <v>465.132654</v>
      </c>
      <c r="T5" s="5">
        <f t="shared" si="0"/>
        <v>111.911616</v>
      </c>
      <c r="U5" s="5">
        <f t="shared" si="0"/>
        <v>360.21551399999998</v>
      </c>
      <c r="V5" s="5">
        <f>Tabelle1[[#This Row],[Kosten KH 6]]/$G$3</f>
        <v>2.6293103211678832</v>
      </c>
      <c r="W5" s="5">
        <f>H5*$L$5</f>
        <v>367.20999</v>
      </c>
      <c r="X5" s="5">
        <f>I5*$L$5</f>
        <v>332.23760999999996</v>
      </c>
      <c r="Y5" s="11">
        <f>B5/B$3</f>
        <v>1.4651162790697674</v>
      </c>
      <c r="Z5" s="11">
        <f>((Y5-$AO$5)/$AO$5)</f>
        <v>0.30544233996643477</v>
      </c>
      <c r="AA5" s="11">
        <f>C5/C$3</f>
        <v>1.1730769230769231</v>
      </c>
      <c r="AB5" s="11">
        <f>((AA5-$AO$5)/$AO$5)</f>
        <v>4.5230542653223037E-2</v>
      </c>
      <c r="AC5" s="11">
        <f t="shared" ref="AC5:AC20" si="1">D5/D$3</f>
        <v>1.1012658227848102</v>
      </c>
      <c r="AD5" s="11">
        <f>((AC5-$AO$5)/$AO$5)</f>
        <v>-1.8754311068026309E-2</v>
      </c>
      <c r="AE5" s="11">
        <f>E5/E$3</f>
        <v>2.2542372881355934</v>
      </c>
      <c r="AF5" s="11">
        <f>((AE5-$AO$5)/$AO$5)</f>
        <v>1.0085619430368689</v>
      </c>
      <c r="AG5" s="11">
        <f>F5/F$3</f>
        <v>1</v>
      </c>
      <c r="AH5" s="11">
        <f>((AG5-$AO$5)/$AO$5)</f>
        <v>-0.10898379970544926</v>
      </c>
      <c r="AI5" s="11">
        <f>G5/G$3</f>
        <v>0.75182481751824815</v>
      </c>
      <c r="AJ5" s="16">
        <f>((AI5-$AO$5)/$AO$5)</f>
        <v>-0.33011190780774657</v>
      </c>
      <c r="AK5" s="11">
        <f>H5/H$3</f>
        <v>0.91304347826086951</v>
      </c>
      <c r="AL5" s="11">
        <f>((AK5-$AO$5)/$AO$5)</f>
        <v>-0.1864634692962798</v>
      </c>
      <c r="AM5" s="11">
        <f>I5/I$3</f>
        <v>1.0795454545454546</v>
      </c>
      <c r="AN5" s="11">
        <f>((AM5-$AO$5)/$AO$5)</f>
        <v>-3.8107511045655407E-2</v>
      </c>
      <c r="AO5" s="11">
        <f>SUM(B5:I5)/SUM($B$3:$I$3)</f>
        <v>1.1223140495867769</v>
      </c>
    </row>
    <row r="6" spans="1:41">
      <c r="A6" s="12" t="s">
        <v>44</v>
      </c>
      <c r="B6" s="12">
        <v>1</v>
      </c>
      <c r="C6" s="12">
        <v>48</v>
      </c>
      <c r="D6" s="12">
        <v>78</v>
      </c>
      <c r="E6" s="12">
        <v>58</v>
      </c>
      <c r="F6" s="12">
        <v>0</v>
      </c>
      <c r="G6" s="12">
        <v>6</v>
      </c>
      <c r="H6" s="12">
        <v>2</v>
      </c>
      <c r="I6" s="12">
        <v>3</v>
      </c>
      <c r="J6" s="12">
        <f t="shared" ref="J6:J60" si="2">SUM(B6:I6)</f>
        <v>196</v>
      </c>
      <c r="K6" s="13">
        <v>40</v>
      </c>
      <c r="L6" s="5">
        <f t="shared" ref="L6:L60" si="3">K6*$B$2</f>
        <v>2.3314919999999999</v>
      </c>
      <c r="M6" s="5">
        <f t="shared" ref="M6:M60" si="4">J6*L6</f>
        <v>456.97243199999997</v>
      </c>
      <c r="N6" s="5">
        <f>Tabelle1[[#This Row],[Kosten Gesamt]]/$J$3</f>
        <v>0.75532633388429748</v>
      </c>
      <c r="O6" s="5">
        <f>Tabelle1[[#This Row],[Kosten Gesamt]]/8</f>
        <v>57.121553999999996</v>
      </c>
      <c r="P6" s="5">
        <f t="shared" ref="P6:P60" si="5">B6*$L$5</f>
        <v>3.4972379999999998</v>
      </c>
      <c r="Q6" s="5">
        <f t="shared" ref="Q6:U60" si="6">C6*$L$5</f>
        <v>167.867424</v>
      </c>
      <c r="R6" s="5">
        <f t="shared" si="0"/>
        <v>272.78456399999999</v>
      </c>
      <c r="S6" s="5">
        <f t="shared" si="0"/>
        <v>202.83980399999999</v>
      </c>
      <c r="T6" s="5">
        <f t="shared" si="0"/>
        <v>0</v>
      </c>
      <c r="U6" s="5">
        <f t="shared" si="0"/>
        <v>20.983428</v>
      </c>
      <c r="V6" s="5">
        <f>Tabelle1[[#This Row],[Kosten KH 6]]/$G$3</f>
        <v>0.15316370802919707</v>
      </c>
      <c r="W6" s="5">
        <f>H6*$L$5</f>
        <v>6.9944759999999997</v>
      </c>
      <c r="X6" s="5">
        <f>I6*$L$5</f>
        <v>10.491714</v>
      </c>
      <c r="Y6" s="11">
        <f t="shared" ref="Y6:Y60" si="7">B6/B$3</f>
        <v>2.3255813953488372E-2</v>
      </c>
      <c r="Z6" s="11">
        <f t="shared" ref="Z6:Z60" si="8">((Y6-AO6)/AO6)</f>
        <v>-0.92821547223540579</v>
      </c>
      <c r="AA6" s="11">
        <f t="shared" ref="AA6:AA60" si="9">C6/C$3</f>
        <v>0.92307692307692313</v>
      </c>
      <c r="AB6" s="11">
        <f t="shared" ref="AB6:AB60" si="10">((AA6-$AO$5)/$AO$5)</f>
        <v>-0.17752350742041464</v>
      </c>
      <c r="AC6" s="11">
        <f t="shared" si="1"/>
        <v>0.98734177215189878</v>
      </c>
      <c r="AD6" s="11">
        <f t="shared" ref="AD6:AD60" si="11">((AC6-$AO$5)/$AO$5)</f>
        <v>-0.12026248578512708</v>
      </c>
      <c r="AE6" s="11">
        <f>E6/E$3</f>
        <v>0.98305084745762716</v>
      </c>
      <c r="AF6" s="11">
        <f t="shared" ref="AF6:AF60" si="12">((AE6-$AO$5)/$AO$5)</f>
        <v>-0.12408576920196702</v>
      </c>
      <c r="AG6" s="11">
        <f>F6/F$3</f>
        <v>0</v>
      </c>
      <c r="AH6" s="11">
        <f t="shared" ref="AH6:AH60" si="13">((AG6-$AO$5)/$AO$5)</f>
        <v>-1</v>
      </c>
      <c r="AI6" s="11">
        <f>G6/G$3</f>
        <v>4.3795620437956206E-2</v>
      </c>
      <c r="AJ6" s="16">
        <f t="shared" ref="AJ6:AJ60" si="14">((AI6-$AO$5)/$AO$5)</f>
        <v>-0.96097739268782989</v>
      </c>
      <c r="AK6" s="11">
        <f>H6/H$3</f>
        <v>1.7391304347826087E-2</v>
      </c>
      <c r="AL6" s="11">
        <f t="shared" ref="AL6:AL60" si="15">((AK6-$AO$5)/$AO$5)</f>
        <v>-0.98450406608183394</v>
      </c>
      <c r="AM6" s="11">
        <f>I6/I$3</f>
        <v>3.4090909090909088E-2</v>
      </c>
      <c r="AN6" s="11">
        <f t="shared" ref="AN6:AN60" si="16">((AM6-$AO$5)/$AO$5)</f>
        <v>-0.96962444771723111</v>
      </c>
      <c r="AO6" s="11">
        <f>SUM(B6:I6)/SUM($B$3:$I$3)</f>
        <v>0.32396694214876032</v>
      </c>
    </row>
    <row r="7" spans="1:41">
      <c r="A7" s="12" t="s">
        <v>45</v>
      </c>
      <c r="B7" s="12">
        <v>45</v>
      </c>
      <c r="C7" s="12">
        <v>51</v>
      </c>
      <c r="D7" s="12">
        <v>82</v>
      </c>
      <c r="E7" s="12">
        <v>71</v>
      </c>
      <c r="F7" s="12">
        <v>33</v>
      </c>
      <c r="G7" s="12">
        <v>102</v>
      </c>
      <c r="H7" s="12">
        <v>122</v>
      </c>
      <c r="I7" s="12">
        <v>91</v>
      </c>
      <c r="J7" s="12">
        <f t="shared" si="2"/>
        <v>597</v>
      </c>
      <c r="K7" s="13">
        <v>50</v>
      </c>
      <c r="L7" s="5">
        <f t="shared" si="3"/>
        <v>2.9143650000000001</v>
      </c>
      <c r="M7" s="5">
        <f t="shared" si="4"/>
        <v>1739.8759050000001</v>
      </c>
      <c r="N7" s="5">
        <f>Tabelle1[[#This Row],[Kosten Gesamt]]/$J$3</f>
        <v>2.8758279421487605</v>
      </c>
      <c r="O7" s="5">
        <f>Tabelle1[[#This Row],[Kosten Gesamt]]/8</f>
        <v>217.48448812500001</v>
      </c>
      <c r="P7" s="5">
        <f t="shared" si="5"/>
        <v>157.37571</v>
      </c>
      <c r="Q7" s="5">
        <f t="shared" si="6"/>
        <v>178.359138</v>
      </c>
      <c r="R7" s="5">
        <f t="shared" si="0"/>
        <v>286.77351599999997</v>
      </c>
      <c r="S7" s="5">
        <f t="shared" si="0"/>
        <v>248.30389799999998</v>
      </c>
      <c r="T7" s="5">
        <f t="shared" si="0"/>
        <v>115.40885399999999</v>
      </c>
      <c r="U7" s="5">
        <f t="shared" si="0"/>
        <v>356.718276</v>
      </c>
      <c r="V7" s="5">
        <f>Tabelle1[[#This Row],[Kosten KH 6]]/$G$3</f>
        <v>2.6037830364963503</v>
      </c>
      <c r="W7" s="5">
        <f>H7*$L$5</f>
        <v>426.66303599999998</v>
      </c>
      <c r="X7" s="5">
        <f>I7*$L$5</f>
        <v>318.24865799999998</v>
      </c>
      <c r="Y7" s="11">
        <f t="shared" si="7"/>
        <v>1.0465116279069768</v>
      </c>
      <c r="Z7" s="11">
        <f t="shared" si="8"/>
        <v>6.0535234311090466E-2</v>
      </c>
      <c r="AA7" s="11">
        <f t="shared" si="9"/>
        <v>0.98076923076923073</v>
      </c>
      <c r="AB7" s="11">
        <f t="shared" si="10"/>
        <v>-0.12611872663419066</v>
      </c>
      <c r="AC7" s="11">
        <f t="shared" si="1"/>
        <v>1.0379746835443038</v>
      </c>
      <c r="AD7" s="11">
        <f t="shared" si="11"/>
        <v>-7.5147741466415702E-2</v>
      </c>
      <c r="AE7" s="11">
        <f>E7/E$3</f>
        <v>1.2033898305084745</v>
      </c>
      <c r="AF7" s="11">
        <f t="shared" si="12"/>
        <v>7.2239834252764368E-2</v>
      </c>
      <c r="AG7" s="11">
        <f>F7/F$3</f>
        <v>1.03125</v>
      </c>
      <c r="AH7" s="11">
        <f t="shared" si="13"/>
        <v>-8.113954344624455E-2</v>
      </c>
      <c r="AI7" s="11">
        <f>G7/G$3</f>
        <v>0.74452554744525545</v>
      </c>
      <c r="AJ7" s="16">
        <f t="shared" si="14"/>
        <v>-0.33661567569310824</v>
      </c>
      <c r="AK7" s="11">
        <f>H7/H$3</f>
        <v>1.0608695652173914</v>
      </c>
      <c r="AL7" s="11">
        <f t="shared" si="15"/>
        <v>-5.474803099186782E-2</v>
      </c>
      <c r="AM7" s="11">
        <f>I7/I$3</f>
        <v>1.0340909090909092</v>
      </c>
      <c r="AN7" s="11">
        <f t="shared" si="16"/>
        <v>-7.8608247422680411E-2</v>
      </c>
      <c r="AO7" s="11">
        <f>SUM(B7:I7)/SUM($B$3:$I$3)</f>
        <v>0.98677685950413219</v>
      </c>
    </row>
    <row r="8" spans="1:41">
      <c r="A8" s="12" t="s">
        <v>46</v>
      </c>
      <c r="B8" s="12">
        <v>0</v>
      </c>
      <c r="C8" s="12">
        <v>51</v>
      </c>
      <c r="D8" s="12">
        <v>82</v>
      </c>
      <c r="E8" s="12">
        <v>71</v>
      </c>
      <c r="F8" s="12">
        <v>33</v>
      </c>
      <c r="G8" s="12">
        <v>0</v>
      </c>
      <c r="H8" s="12">
        <v>19</v>
      </c>
      <c r="I8" s="12">
        <v>0</v>
      </c>
      <c r="J8" s="12">
        <f t="shared" si="2"/>
        <v>256</v>
      </c>
      <c r="K8" s="13">
        <v>0</v>
      </c>
      <c r="L8" s="5">
        <f t="shared" si="3"/>
        <v>0</v>
      </c>
      <c r="M8" s="5">
        <f t="shared" si="4"/>
        <v>0</v>
      </c>
      <c r="N8" s="5">
        <f>Tabelle1[[#This Row],[Kosten Gesamt]]/$J$3</f>
        <v>0</v>
      </c>
      <c r="O8" s="5">
        <f>Tabelle1[[#This Row],[Kosten Gesamt]]/8</f>
        <v>0</v>
      </c>
      <c r="P8" s="5">
        <f t="shared" si="5"/>
        <v>0</v>
      </c>
      <c r="Q8" s="5">
        <f t="shared" si="6"/>
        <v>178.359138</v>
      </c>
      <c r="R8" s="5">
        <f t="shared" si="0"/>
        <v>286.77351599999997</v>
      </c>
      <c r="S8" s="5">
        <f t="shared" si="0"/>
        <v>248.30389799999998</v>
      </c>
      <c r="T8" s="5">
        <f t="shared" si="0"/>
        <v>115.40885399999999</v>
      </c>
      <c r="U8" s="5">
        <f t="shared" si="0"/>
        <v>0</v>
      </c>
      <c r="V8" s="5">
        <f>Tabelle1[[#This Row],[Kosten KH 6]]/$G$3</f>
        <v>0</v>
      </c>
      <c r="W8" s="5">
        <f>H8*$L$5</f>
        <v>66.447521999999992</v>
      </c>
      <c r="X8" s="5">
        <f>I8*$L$5</f>
        <v>0</v>
      </c>
      <c r="Y8" s="11">
        <f t="shared" si="7"/>
        <v>0</v>
      </c>
      <c r="Z8" s="11">
        <f t="shared" si="8"/>
        <v>-1</v>
      </c>
      <c r="AA8" s="11">
        <f t="shared" si="9"/>
        <v>0.98076923076923073</v>
      </c>
      <c r="AB8" s="11">
        <f t="shared" si="10"/>
        <v>-0.12611872663419066</v>
      </c>
      <c r="AC8" s="11">
        <f t="shared" si="1"/>
        <v>1.0379746835443038</v>
      </c>
      <c r="AD8" s="11">
        <f t="shared" si="11"/>
        <v>-7.5147741466415702E-2</v>
      </c>
      <c r="AE8" s="11">
        <f>E8/E$3</f>
        <v>1.2033898305084745</v>
      </c>
      <c r="AF8" s="11">
        <f t="shared" si="12"/>
        <v>7.2239834252764368E-2</v>
      </c>
      <c r="AG8" s="11">
        <f>F8/F$3</f>
        <v>1.03125</v>
      </c>
      <c r="AH8" s="11">
        <f t="shared" si="13"/>
        <v>-8.113954344624455E-2</v>
      </c>
      <c r="AI8" s="11">
        <f>G8/G$3</f>
        <v>0</v>
      </c>
      <c r="AJ8" s="16">
        <f t="shared" si="14"/>
        <v>-1</v>
      </c>
      <c r="AK8" s="11">
        <f>H8/H$3</f>
        <v>0.16521739130434782</v>
      </c>
      <c r="AL8" s="11">
        <f t="shared" si="15"/>
        <v>-0.85278862777742215</v>
      </c>
      <c r="AM8" s="11">
        <f>I8/I$3</f>
        <v>0</v>
      </c>
      <c r="AN8" s="11">
        <f t="shared" si="16"/>
        <v>-1</v>
      </c>
      <c r="AO8" s="11">
        <f>SUM(B8:I8)/SUM($B$3:$I$3)</f>
        <v>0.42314049586776858</v>
      </c>
    </row>
    <row r="9" spans="1:41">
      <c r="A9" s="12" t="s">
        <v>47</v>
      </c>
      <c r="B9" s="12">
        <v>45</v>
      </c>
      <c r="C9" s="12">
        <v>51</v>
      </c>
      <c r="D9" s="12">
        <v>82</v>
      </c>
      <c r="E9" s="12">
        <v>71</v>
      </c>
      <c r="F9" s="12">
        <v>33</v>
      </c>
      <c r="G9" s="12">
        <v>102</v>
      </c>
      <c r="H9" s="12">
        <v>122</v>
      </c>
      <c r="I9" s="12">
        <v>91</v>
      </c>
      <c r="J9" s="12">
        <f t="shared" si="2"/>
        <v>597</v>
      </c>
      <c r="K9" s="13">
        <v>50</v>
      </c>
      <c r="L9" s="5">
        <f t="shared" si="3"/>
        <v>2.9143650000000001</v>
      </c>
      <c r="M9" s="5">
        <f t="shared" si="4"/>
        <v>1739.8759050000001</v>
      </c>
      <c r="N9" s="5">
        <f>Tabelle1[[#This Row],[Kosten Gesamt]]/$J$3</f>
        <v>2.8758279421487605</v>
      </c>
      <c r="O9" s="5">
        <f>Tabelle1[[#This Row],[Kosten Gesamt]]/8</f>
        <v>217.48448812500001</v>
      </c>
      <c r="P9" s="5">
        <f t="shared" si="5"/>
        <v>157.37571</v>
      </c>
      <c r="Q9" s="5">
        <f t="shared" si="6"/>
        <v>178.359138</v>
      </c>
      <c r="R9" s="5">
        <f t="shared" si="0"/>
        <v>286.77351599999997</v>
      </c>
      <c r="S9" s="5">
        <f t="shared" si="0"/>
        <v>248.30389799999998</v>
      </c>
      <c r="T9" s="5">
        <f t="shared" si="0"/>
        <v>115.40885399999999</v>
      </c>
      <c r="U9" s="5">
        <f t="shared" si="0"/>
        <v>356.718276</v>
      </c>
      <c r="V9" s="5">
        <f>Tabelle1[[#This Row],[Kosten KH 6]]/$G$3</f>
        <v>2.6037830364963503</v>
      </c>
      <c r="W9" s="5">
        <f>H9*$L$5</f>
        <v>426.66303599999998</v>
      </c>
      <c r="X9" s="5">
        <f>I9*$L$5</f>
        <v>318.24865799999998</v>
      </c>
      <c r="Y9" s="11">
        <f t="shared" si="7"/>
        <v>1.0465116279069768</v>
      </c>
      <c r="Z9" s="11">
        <f t="shared" si="8"/>
        <v>6.0535234311090466E-2</v>
      </c>
      <c r="AA9" s="11">
        <f t="shared" si="9"/>
        <v>0.98076923076923073</v>
      </c>
      <c r="AB9" s="11">
        <f t="shared" si="10"/>
        <v>-0.12611872663419066</v>
      </c>
      <c r="AC9" s="11">
        <f t="shared" si="1"/>
        <v>1.0379746835443038</v>
      </c>
      <c r="AD9" s="11">
        <f t="shared" si="11"/>
        <v>-7.5147741466415702E-2</v>
      </c>
      <c r="AE9" s="11">
        <f>E9/E$3</f>
        <v>1.2033898305084745</v>
      </c>
      <c r="AF9" s="11">
        <f t="shared" si="12"/>
        <v>7.2239834252764368E-2</v>
      </c>
      <c r="AG9" s="11">
        <f>F9/F$3</f>
        <v>1.03125</v>
      </c>
      <c r="AH9" s="11">
        <f t="shared" si="13"/>
        <v>-8.113954344624455E-2</v>
      </c>
      <c r="AI9" s="11">
        <f>G9/G$3</f>
        <v>0.74452554744525545</v>
      </c>
      <c r="AJ9" s="16">
        <f t="shared" si="14"/>
        <v>-0.33661567569310824</v>
      </c>
      <c r="AK9" s="11">
        <f>H9/H$3</f>
        <v>1.0608695652173914</v>
      </c>
      <c r="AL9" s="11">
        <f t="shared" si="15"/>
        <v>-5.474803099186782E-2</v>
      </c>
      <c r="AM9" s="11">
        <f>I9/I$3</f>
        <v>1.0340909090909092</v>
      </c>
      <c r="AN9" s="11">
        <f t="shared" si="16"/>
        <v>-7.8608247422680411E-2</v>
      </c>
      <c r="AO9" s="11">
        <f>SUM(B9:I9)/SUM($B$3:$I$3)</f>
        <v>0.98677685950413219</v>
      </c>
    </row>
    <row r="10" spans="1:41">
      <c r="A10" s="12" t="s">
        <v>48</v>
      </c>
      <c r="B10" s="12">
        <v>0</v>
      </c>
      <c r="C10" s="12">
        <v>51</v>
      </c>
      <c r="D10" s="12">
        <v>2</v>
      </c>
      <c r="E10" s="12">
        <v>0</v>
      </c>
      <c r="F10" s="12">
        <v>0</v>
      </c>
      <c r="G10" s="12">
        <v>46</v>
      </c>
      <c r="H10" s="12">
        <v>65</v>
      </c>
      <c r="I10" s="12">
        <v>0</v>
      </c>
      <c r="J10" s="12">
        <f t="shared" si="2"/>
        <v>164</v>
      </c>
      <c r="K10" s="13">
        <v>100</v>
      </c>
      <c r="L10" s="5">
        <f t="shared" si="3"/>
        <v>5.8287300000000002</v>
      </c>
      <c r="M10" s="5">
        <f t="shared" si="4"/>
        <v>955.91172000000006</v>
      </c>
      <c r="N10" s="5">
        <f>Tabelle1[[#This Row],[Kosten Gesamt]]/$J$3</f>
        <v>1.5800193719008266</v>
      </c>
      <c r="O10" s="5">
        <f>Tabelle1[[#This Row],[Kosten Gesamt]]/8</f>
        <v>119.48896500000001</v>
      </c>
      <c r="P10" s="5">
        <f t="shared" si="5"/>
        <v>0</v>
      </c>
      <c r="Q10" s="5">
        <f t="shared" si="6"/>
        <v>178.359138</v>
      </c>
      <c r="R10" s="5">
        <f t="shared" si="0"/>
        <v>6.9944759999999997</v>
      </c>
      <c r="S10" s="5">
        <f t="shared" si="0"/>
        <v>0</v>
      </c>
      <c r="T10" s="5">
        <f t="shared" si="0"/>
        <v>0</v>
      </c>
      <c r="U10" s="5">
        <f t="shared" si="0"/>
        <v>160.87294799999998</v>
      </c>
      <c r="V10" s="5">
        <f>Tabelle1[[#This Row],[Kosten KH 6]]/$G$3</f>
        <v>1.1742550948905108</v>
      </c>
      <c r="W10" s="5">
        <f>H10*$L$5</f>
        <v>227.32047</v>
      </c>
      <c r="X10" s="5">
        <f>I10*$L$5</f>
        <v>0</v>
      </c>
      <c r="Y10" s="11">
        <f t="shared" si="7"/>
        <v>0</v>
      </c>
      <c r="Z10" s="11">
        <f t="shared" si="8"/>
        <v>-1</v>
      </c>
      <c r="AA10" s="11">
        <f t="shared" si="9"/>
        <v>0.98076923076923073</v>
      </c>
      <c r="AB10" s="11">
        <f t="shared" si="10"/>
        <v>-0.12611872663419066</v>
      </c>
      <c r="AC10" s="11">
        <f t="shared" si="1"/>
        <v>2.5316455696202531E-2</v>
      </c>
      <c r="AD10" s="11">
        <f t="shared" si="11"/>
        <v>-0.9774426278406444</v>
      </c>
      <c r="AE10" s="11">
        <f>E10/E$3</f>
        <v>0</v>
      </c>
      <c r="AF10" s="11">
        <f t="shared" si="12"/>
        <v>-1</v>
      </c>
      <c r="AG10" s="11">
        <f>F10/F$3</f>
        <v>0</v>
      </c>
      <c r="AH10" s="11">
        <f t="shared" si="13"/>
        <v>-1</v>
      </c>
      <c r="AI10" s="11">
        <f>G10/G$3</f>
        <v>0.33576642335766421</v>
      </c>
      <c r="AJ10" s="16">
        <f t="shared" si="14"/>
        <v>-0.70082667727336245</v>
      </c>
      <c r="AK10" s="11">
        <f>H10/H$3</f>
        <v>0.56521739130434778</v>
      </c>
      <c r="AL10" s="11">
        <f t="shared" si="15"/>
        <v>-0.49638214765960181</v>
      </c>
      <c r="AM10" s="11">
        <f>I10/I$3</f>
        <v>0</v>
      </c>
      <c r="AN10" s="11">
        <f t="shared" si="16"/>
        <v>-1</v>
      </c>
      <c r="AO10" s="11">
        <f>SUM(B10:I10)/SUM($B$3:$I$3)</f>
        <v>0.27107438016528923</v>
      </c>
    </row>
    <row r="11" spans="1:41">
      <c r="A11" s="12" t="s">
        <v>49</v>
      </c>
      <c r="B11" s="12">
        <v>0</v>
      </c>
      <c r="C11" s="12">
        <v>51</v>
      </c>
      <c r="D11" s="12">
        <v>2</v>
      </c>
      <c r="E11" s="12">
        <v>0</v>
      </c>
      <c r="F11" s="12">
        <v>0</v>
      </c>
      <c r="G11" s="12">
        <v>8</v>
      </c>
      <c r="H11" s="12">
        <v>0</v>
      </c>
      <c r="I11" s="12">
        <v>0</v>
      </c>
      <c r="J11" s="12">
        <f t="shared" si="2"/>
        <v>61</v>
      </c>
      <c r="K11" s="13">
        <v>110</v>
      </c>
      <c r="L11" s="5">
        <f t="shared" si="3"/>
        <v>6.4116030000000004</v>
      </c>
      <c r="M11" s="5">
        <f t="shared" si="4"/>
        <v>391.10778300000004</v>
      </c>
      <c r="N11" s="5">
        <f>Tabelle1[[#This Row],[Kosten Gesamt]]/$J$3</f>
        <v>0.64645914545454553</v>
      </c>
      <c r="O11" s="5">
        <f>Tabelle1[[#This Row],[Kosten Gesamt]]/8</f>
        <v>48.888472875000005</v>
      </c>
      <c r="P11" s="5">
        <f t="shared" si="5"/>
        <v>0</v>
      </c>
      <c r="Q11" s="5">
        <f t="shared" si="6"/>
        <v>178.359138</v>
      </c>
      <c r="R11" s="5">
        <f t="shared" si="0"/>
        <v>6.9944759999999997</v>
      </c>
      <c r="S11" s="5">
        <f t="shared" si="0"/>
        <v>0</v>
      </c>
      <c r="T11" s="5">
        <f t="shared" si="0"/>
        <v>0</v>
      </c>
      <c r="U11" s="5">
        <f t="shared" si="0"/>
        <v>27.977903999999999</v>
      </c>
      <c r="V11" s="5">
        <f>Tabelle1[[#This Row],[Kosten KH 6]]/$G$3</f>
        <v>0.20421827737226275</v>
      </c>
      <c r="W11" s="5">
        <f>H11*$L$5</f>
        <v>0</v>
      </c>
      <c r="X11" s="5">
        <f>I11*$L$5</f>
        <v>0</v>
      </c>
      <c r="Y11" s="11">
        <f t="shared" si="7"/>
        <v>0</v>
      </c>
      <c r="Z11" s="11">
        <f t="shared" si="8"/>
        <v>-1</v>
      </c>
      <c r="AA11" s="11">
        <f t="shared" si="9"/>
        <v>0.98076923076923073</v>
      </c>
      <c r="AB11" s="11">
        <f t="shared" si="10"/>
        <v>-0.12611872663419066</v>
      </c>
      <c r="AC11" s="11">
        <f t="shared" si="1"/>
        <v>2.5316455696202531E-2</v>
      </c>
      <c r="AD11" s="11">
        <f t="shared" si="11"/>
        <v>-0.9774426278406444</v>
      </c>
      <c r="AE11" s="11">
        <f>E11/E$3</f>
        <v>0</v>
      </c>
      <c r="AF11" s="11">
        <f t="shared" si="12"/>
        <v>-1</v>
      </c>
      <c r="AG11" s="11">
        <f>F11/F$3</f>
        <v>0</v>
      </c>
      <c r="AH11" s="11">
        <f t="shared" si="13"/>
        <v>-1</v>
      </c>
      <c r="AI11" s="11">
        <f>G11/G$3</f>
        <v>5.8394160583941604E-2</v>
      </c>
      <c r="AJ11" s="16">
        <f t="shared" si="14"/>
        <v>-0.94796985691710656</v>
      </c>
      <c r="AK11" s="11">
        <f>H11/H$3</f>
        <v>0</v>
      </c>
      <c r="AL11" s="11">
        <f t="shared" si="15"/>
        <v>-1</v>
      </c>
      <c r="AM11" s="11">
        <f>I11/I$3</f>
        <v>0</v>
      </c>
      <c r="AN11" s="11">
        <f t="shared" si="16"/>
        <v>-1</v>
      </c>
      <c r="AO11" s="11">
        <f>SUM(B11:I11)/SUM($B$3:$I$3)</f>
        <v>0.10082644628099173</v>
      </c>
    </row>
    <row r="12" spans="1:41">
      <c r="A12" s="12" t="s">
        <v>50</v>
      </c>
      <c r="B12" s="12">
        <v>0</v>
      </c>
      <c r="C12" s="12">
        <v>0</v>
      </c>
      <c r="D12" s="12">
        <v>3</v>
      </c>
      <c r="E12" s="12">
        <v>0</v>
      </c>
      <c r="F12" s="12">
        <v>0</v>
      </c>
      <c r="G12" s="12">
        <v>0</v>
      </c>
      <c r="H12" s="12">
        <v>7</v>
      </c>
      <c r="I12" s="12">
        <v>17</v>
      </c>
      <c r="J12" s="12">
        <f t="shared" si="2"/>
        <v>27</v>
      </c>
      <c r="K12" s="13">
        <v>50</v>
      </c>
      <c r="L12" s="5">
        <f t="shared" si="3"/>
        <v>2.9143650000000001</v>
      </c>
      <c r="M12" s="5">
        <f t="shared" si="4"/>
        <v>78.687854999999999</v>
      </c>
      <c r="N12" s="5">
        <f>Tabelle1[[#This Row],[Kosten Gesamt]]/$J$3</f>
        <v>0.13006257024793388</v>
      </c>
      <c r="O12" s="5">
        <f>Tabelle1[[#This Row],[Kosten Gesamt]]/8</f>
        <v>9.8359818749999999</v>
      </c>
      <c r="P12" s="5">
        <f t="shared" si="5"/>
        <v>0</v>
      </c>
      <c r="Q12" s="5">
        <f t="shared" si="6"/>
        <v>0</v>
      </c>
      <c r="R12" s="5">
        <f t="shared" si="0"/>
        <v>10.491714</v>
      </c>
      <c r="S12" s="5">
        <f t="shared" si="0"/>
        <v>0</v>
      </c>
      <c r="T12" s="5">
        <f t="shared" si="0"/>
        <v>0</v>
      </c>
      <c r="U12" s="5">
        <f t="shared" si="0"/>
        <v>0</v>
      </c>
      <c r="V12" s="5">
        <f>Tabelle1[[#This Row],[Kosten KH 6]]/$G$3</f>
        <v>0</v>
      </c>
      <c r="W12" s="5">
        <f>H12*$L$5</f>
        <v>24.480665999999999</v>
      </c>
      <c r="X12" s="5">
        <f>I12*$L$5</f>
        <v>59.453046000000001</v>
      </c>
      <c r="Y12" s="11">
        <f t="shared" si="7"/>
        <v>0</v>
      </c>
      <c r="Z12" s="11">
        <f t="shared" si="8"/>
        <v>-1</v>
      </c>
      <c r="AA12" s="11">
        <f t="shared" si="9"/>
        <v>0</v>
      </c>
      <c r="AB12" s="11">
        <f t="shared" si="10"/>
        <v>-1</v>
      </c>
      <c r="AC12" s="11">
        <f t="shared" si="1"/>
        <v>3.7974683544303799E-2</v>
      </c>
      <c r="AD12" s="11">
        <f t="shared" si="11"/>
        <v>-0.96616394176096643</v>
      </c>
      <c r="AE12" s="11">
        <f>E12/E$3</f>
        <v>0</v>
      </c>
      <c r="AF12" s="11">
        <f t="shared" si="12"/>
        <v>-1</v>
      </c>
      <c r="AG12" s="11">
        <f>F12/F$3</f>
        <v>0</v>
      </c>
      <c r="AH12" s="11">
        <f t="shared" si="13"/>
        <v>-1</v>
      </c>
      <c r="AI12" s="11">
        <f>G12/G$3</f>
        <v>0</v>
      </c>
      <c r="AJ12" s="16">
        <f t="shared" si="14"/>
        <v>-1</v>
      </c>
      <c r="AK12" s="11">
        <f>H12/H$3</f>
        <v>6.0869565217391307E-2</v>
      </c>
      <c r="AL12" s="11">
        <f t="shared" si="15"/>
        <v>-0.94576423128641862</v>
      </c>
      <c r="AM12" s="11">
        <f>I12/I$3</f>
        <v>0.19318181818181818</v>
      </c>
      <c r="AN12" s="11">
        <f t="shared" si="16"/>
        <v>-0.82787187039764365</v>
      </c>
      <c r="AO12" s="11">
        <f>SUM(B12:I12)/SUM($B$3:$I$3)</f>
        <v>4.4628099173553717E-2</v>
      </c>
    </row>
    <row r="13" spans="1:41">
      <c r="A13" s="12" t="s">
        <v>51</v>
      </c>
      <c r="B13" s="12">
        <v>54</v>
      </c>
      <c r="C13" s="12">
        <v>58</v>
      </c>
      <c r="D13" s="12">
        <v>86</v>
      </c>
      <c r="E13" s="12">
        <v>67</v>
      </c>
      <c r="F13" s="12">
        <v>29</v>
      </c>
      <c r="G13" s="12">
        <v>98</v>
      </c>
      <c r="H13" s="12">
        <v>60</v>
      </c>
      <c r="I13" s="12">
        <v>70</v>
      </c>
      <c r="J13" s="12">
        <f t="shared" si="2"/>
        <v>522</v>
      </c>
      <c r="K13" s="13">
        <v>30</v>
      </c>
      <c r="L13" s="5">
        <f t="shared" si="3"/>
        <v>1.7486189999999999</v>
      </c>
      <c r="M13" s="5">
        <f t="shared" si="4"/>
        <v>912.77911799999993</v>
      </c>
      <c r="N13" s="5">
        <f>Tabelle1[[#This Row],[Kosten Gesamt]]/$J$3</f>
        <v>1.508725814876033</v>
      </c>
      <c r="O13" s="5">
        <f>Tabelle1[[#This Row],[Kosten Gesamt]]/8</f>
        <v>114.09738974999999</v>
      </c>
      <c r="P13" s="5">
        <f t="shared" si="5"/>
        <v>188.850852</v>
      </c>
      <c r="Q13" s="5">
        <f t="shared" si="6"/>
        <v>202.83980399999999</v>
      </c>
      <c r="R13" s="5">
        <f t="shared" si="0"/>
        <v>300.76246800000001</v>
      </c>
      <c r="S13" s="5">
        <f t="shared" si="0"/>
        <v>234.31494599999999</v>
      </c>
      <c r="T13" s="5">
        <f t="shared" si="0"/>
        <v>101.41990199999999</v>
      </c>
      <c r="U13" s="5">
        <f t="shared" si="0"/>
        <v>342.72932399999996</v>
      </c>
      <c r="V13" s="5">
        <f>Tabelle1[[#This Row],[Kosten KH 6]]/$G$3</f>
        <v>2.5016738978102189</v>
      </c>
      <c r="W13" s="5">
        <f>H13*$L$5</f>
        <v>209.83427999999998</v>
      </c>
      <c r="X13" s="5">
        <f>I13*$L$5</f>
        <v>244.80665999999999</v>
      </c>
      <c r="Y13" s="11">
        <f t="shared" si="7"/>
        <v>1.2558139534883721</v>
      </c>
      <c r="Z13" s="11">
        <f t="shared" si="8"/>
        <v>0.45549318364073771</v>
      </c>
      <c r="AA13" s="11">
        <f t="shared" si="9"/>
        <v>1.1153846153846154</v>
      </c>
      <c r="AB13" s="11">
        <f t="shared" si="10"/>
        <v>-6.174238133001061E-3</v>
      </c>
      <c r="AC13" s="11">
        <f t="shared" si="1"/>
        <v>1.0886075949367089</v>
      </c>
      <c r="AD13" s="11">
        <f t="shared" si="11"/>
        <v>-3.0032997147704226E-2</v>
      </c>
      <c r="AE13" s="11">
        <f>E13/E$3</f>
        <v>1.1355932203389831</v>
      </c>
      <c r="AF13" s="11">
        <f t="shared" si="12"/>
        <v>1.1831956266693294E-2</v>
      </c>
      <c r="AG13" s="11">
        <f>F13/F$3</f>
        <v>0.90625</v>
      </c>
      <c r="AH13" s="11">
        <f t="shared" si="13"/>
        <v>-0.19251656848306339</v>
      </c>
      <c r="AI13" s="11">
        <f>G13/G$3</f>
        <v>0.71532846715328469</v>
      </c>
      <c r="AJ13" s="16">
        <f t="shared" si="14"/>
        <v>-0.36263074723455491</v>
      </c>
      <c r="AK13" s="11">
        <f>H13/H$3</f>
        <v>0.52173913043478259</v>
      </c>
      <c r="AL13" s="11">
        <f t="shared" si="15"/>
        <v>-0.53512198245501696</v>
      </c>
      <c r="AM13" s="11">
        <f>I13/I$3</f>
        <v>0.79545454545454541</v>
      </c>
      <c r="AN13" s="11">
        <f t="shared" si="16"/>
        <v>-0.29123711340206193</v>
      </c>
      <c r="AO13" s="11">
        <f>SUM(B13:I13)/SUM($B$3:$I$3)</f>
        <v>0.86280991735537194</v>
      </c>
    </row>
    <row r="14" spans="1:41">
      <c r="A14" s="12" t="s">
        <v>52</v>
      </c>
      <c r="B14" s="12">
        <v>54</v>
      </c>
      <c r="C14" s="12">
        <v>58</v>
      </c>
      <c r="D14" s="12">
        <v>86</v>
      </c>
      <c r="E14" s="12">
        <v>67</v>
      </c>
      <c r="F14" s="12">
        <v>28</v>
      </c>
      <c r="G14" s="12">
        <v>98</v>
      </c>
      <c r="H14" s="12">
        <v>60</v>
      </c>
      <c r="I14" s="12">
        <v>70</v>
      </c>
      <c r="J14" s="12">
        <f t="shared" si="2"/>
        <v>521</v>
      </c>
      <c r="K14" s="13">
        <v>30</v>
      </c>
      <c r="L14" s="5">
        <f t="shared" si="3"/>
        <v>1.7486189999999999</v>
      </c>
      <c r="M14" s="5">
        <f t="shared" si="4"/>
        <v>911.03049899999996</v>
      </c>
      <c r="N14" s="5">
        <f>Tabelle1[[#This Row],[Kosten Gesamt]]/$J$3</f>
        <v>1.50583553553719</v>
      </c>
      <c r="O14" s="5">
        <f>Tabelle1[[#This Row],[Kosten Gesamt]]/8</f>
        <v>113.878812375</v>
      </c>
      <c r="P14" s="5">
        <f t="shared" si="5"/>
        <v>188.850852</v>
      </c>
      <c r="Q14" s="5">
        <f t="shared" si="6"/>
        <v>202.83980399999999</v>
      </c>
      <c r="R14" s="5">
        <f t="shared" si="0"/>
        <v>300.76246800000001</v>
      </c>
      <c r="S14" s="5">
        <f t="shared" si="0"/>
        <v>234.31494599999999</v>
      </c>
      <c r="T14" s="5">
        <f t="shared" si="0"/>
        <v>97.922663999999997</v>
      </c>
      <c r="U14" s="5">
        <f t="shared" si="0"/>
        <v>342.72932399999996</v>
      </c>
      <c r="V14" s="5">
        <f>Tabelle1[[#This Row],[Kosten KH 6]]/$G$3</f>
        <v>2.5016738978102189</v>
      </c>
      <c r="W14" s="5">
        <f>H14*$L$5</f>
        <v>209.83427999999998</v>
      </c>
      <c r="X14" s="5">
        <f>I14*$L$5</f>
        <v>244.80665999999999</v>
      </c>
      <c r="Y14" s="11">
        <f t="shared" si="7"/>
        <v>1.2558139534883721</v>
      </c>
      <c r="Z14" s="11">
        <f t="shared" si="8"/>
        <v>0.45828683658438607</v>
      </c>
      <c r="AA14" s="11">
        <f t="shared" si="9"/>
        <v>1.1153846153846154</v>
      </c>
      <c r="AB14" s="11">
        <f t="shared" si="10"/>
        <v>-6.174238133001061E-3</v>
      </c>
      <c r="AC14" s="11">
        <f t="shared" si="1"/>
        <v>1.0886075949367089</v>
      </c>
      <c r="AD14" s="11">
        <f t="shared" si="11"/>
        <v>-3.0032997147704226E-2</v>
      </c>
      <c r="AE14" s="11">
        <f>E14/E$3</f>
        <v>1.1355932203389831</v>
      </c>
      <c r="AF14" s="11">
        <f t="shared" si="12"/>
        <v>1.1831956266693294E-2</v>
      </c>
      <c r="AG14" s="11">
        <f>F14/F$3</f>
        <v>0.875</v>
      </c>
      <c r="AH14" s="11">
        <f t="shared" si="13"/>
        <v>-0.22036082474226809</v>
      </c>
      <c r="AI14" s="11">
        <f>G14/G$3</f>
        <v>0.71532846715328469</v>
      </c>
      <c r="AJ14" s="16">
        <f t="shared" si="14"/>
        <v>-0.36263074723455491</v>
      </c>
      <c r="AK14" s="11">
        <f>H14/H$3</f>
        <v>0.52173913043478259</v>
      </c>
      <c r="AL14" s="11">
        <f t="shared" si="15"/>
        <v>-0.53512198245501696</v>
      </c>
      <c r="AM14" s="11">
        <f>I14/I$3</f>
        <v>0.79545454545454541</v>
      </c>
      <c r="AN14" s="11">
        <f t="shared" si="16"/>
        <v>-0.29123711340206193</v>
      </c>
      <c r="AO14" s="11">
        <f>SUM(B14:I14)/SUM($B$3:$I$3)</f>
        <v>0.8611570247933884</v>
      </c>
    </row>
    <row r="15" spans="1:41">
      <c r="A15" s="12" t="s">
        <v>53</v>
      </c>
      <c r="B15" s="12">
        <v>54</v>
      </c>
      <c r="C15" s="12">
        <v>58</v>
      </c>
      <c r="D15" s="12">
        <v>0</v>
      </c>
      <c r="E15" s="12">
        <v>67</v>
      </c>
      <c r="F15" s="12">
        <v>28</v>
      </c>
      <c r="G15" s="12">
        <v>89</v>
      </c>
      <c r="H15" s="12">
        <v>60</v>
      </c>
      <c r="I15" s="12">
        <v>69</v>
      </c>
      <c r="J15" s="12">
        <f t="shared" si="2"/>
        <v>425</v>
      </c>
      <c r="K15" s="13">
        <v>30</v>
      </c>
      <c r="L15" s="5">
        <f t="shared" si="3"/>
        <v>1.7486189999999999</v>
      </c>
      <c r="M15" s="5">
        <f t="shared" si="4"/>
        <v>743.16307499999994</v>
      </c>
      <c r="N15" s="5">
        <f>Tabelle1[[#This Row],[Kosten Gesamt]]/$J$3</f>
        <v>1.2283687190082644</v>
      </c>
      <c r="O15" s="5">
        <f>Tabelle1[[#This Row],[Kosten Gesamt]]/8</f>
        <v>92.895384374999992</v>
      </c>
      <c r="P15" s="5">
        <f t="shared" si="5"/>
        <v>188.850852</v>
      </c>
      <c r="Q15" s="5">
        <f t="shared" si="6"/>
        <v>202.83980399999999</v>
      </c>
      <c r="R15" s="5">
        <f t="shared" si="0"/>
        <v>0</v>
      </c>
      <c r="S15" s="5">
        <f t="shared" si="0"/>
        <v>234.31494599999999</v>
      </c>
      <c r="T15" s="5">
        <f t="shared" si="0"/>
        <v>97.922663999999997</v>
      </c>
      <c r="U15" s="5">
        <f t="shared" si="0"/>
        <v>311.25418200000001</v>
      </c>
      <c r="V15" s="5">
        <f>Tabelle1[[#This Row],[Kosten KH 6]]/$G$3</f>
        <v>2.2719283357664235</v>
      </c>
      <c r="W15" s="5">
        <f>H15*$L$5</f>
        <v>209.83427999999998</v>
      </c>
      <c r="X15" s="5">
        <f>I15*$L$5</f>
        <v>241.30942199999998</v>
      </c>
      <c r="Y15" s="11">
        <f t="shared" si="7"/>
        <v>1.2558139534883721</v>
      </c>
      <c r="Z15" s="11">
        <f t="shared" si="8"/>
        <v>0.78768809849521204</v>
      </c>
      <c r="AA15" s="11">
        <f t="shared" si="9"/>
        <v>1.1153846153846154</v>
      </c>
      <c r="AB15" s="11">
        <f t="shared" si="10"/>
        <v>-6.174238133001061E-3</v>
      </c>
      <c r="AC15" s="11">
        <f t="shared" si="1"/>
        <v>0</v>
      </c>
      <c r="AD15" s="11">
        <f t="shared" si="11"/>
        <v>-1</v>
      </c>
      <c r="AE15" s="11">
        <f>E15/E$3</f>
        <v>1.1355932203389831</v>
      </c>
      <c r="AF15" s="11">
        <f t="shared" si="12"/>
        <v>1.1831956266693294E-2</v>
      </c>
      <c r="AG15" s="11">
        <f>F15/F$3</f>
        <v>0.875</v>
      </c>
      <c r="AH15" s="11">
        <f t="shared" si="13"/>
        <v>-0.22036082474226809</v>
      </c>
      <c r="AI15" s="11">
        <f>G15/G$3</f>
        <v>0.64963503649635035</v>
      </c>
      <c r="AJ15" s="16">
        <f t="shared" si="14"/>
        <v>-0.42116465820281013</v>
      </c>
      <c r="AK15" s="11">
        <f>H15/H$3</f>
        <v>0.52173913043478259</v>
      </c>
      <c r="AL15" s="11">
        <f t="shared" si="15"/>
        <v>-0.53512198245501696</v>
      </c>
      <c r="AM15" s="11">
        <f>I15/I$3</f>
        <v>0.78409090909090906</v>
      </c>
      <c r="AN15" s="11">
        <f t="shared" si="16"/>
        <v>-0.30136229749631821</v>
      </c>
      <c r="AO15" s="11">
        <f>SUM(B15:I15)/SUM($B$3:$I$3)</f>
        <v>0.7024793388429752</v>
      </c>
    </row>
    <row r="16" spans="1:41">
      <c r="A16" s="12" t="s">
        <v>54</v>
      </c>
      <c r="B16" s="12">
        <v>54</v>
      </c>
      <c r="C16" s="12">
        <v>53</v>
      </c>
      <c r="D16" s="12">
        <v>86</v>
      </c>
      <c r="E16" s="12">
        <v>67</v>
      </c>
      <c r="F16" s="12">
        <v>28</v>
      </c>
      <c r="G16" s="12">
        <v>82</v>
      </c>
      <c r="H16" s="12">
        <v>62</v>
      </c>
      <c r="I16" s="12">
        <v>70</v>
      </c>
      <c r="J16" s="12">
        <f t="shared" si="2"/>
        <v>502</v>
      </c>
      <c r="K16" s="13">
        <v>40</v>
      </c>
      <c r="L16" s="5">
        <f t="shared" si="3"/>
        <v>2.3314919999999999</v>
      </c>
      <c r="M16" s="5">
        <f t="shared" si="4"/>
        <v>1170.4089839999999</v>
      </c>
      <c r="N16" s="5">
        <f>Tabelle1[[#This Row],[Kosten Gesamt]]/$J$3</f>
        <v>1.9345603041322312</v>
      </c>
      <c r="O16" s="5">
        <f>Tabelle1[[#This Row],[Kosten Gesamt]]/8</f>
        <v>146.30112299999999</v>
      </c>
      <c r="P16" s="5">
        <f t="shared" si="5"/>
        <v>188.850852</v>
      </c>
      <c r="Q16" s="5">
        <f t="shared" si="6"/>
        <v>185.35361399999999</v>
      </c>
      <c r="R16" s="5">
        <f t="shared" si="0"/>
        <v>300.76246800000001</v>
      </c>
      <c r="S16" s="5">
        <f t="shared" si="0"/>
        <v>234.31494599999999</v>
      </c>
      <c r="T16" s="5">
        <f t="shared" si="0"/>
        <v>97.922663999999997</v>
      </c>
      <c r="U16" s="5">
        <f t="shared" si="0"/>
        <v>286.77351599999997</v>
      </c>
      <c r="V16" s="5">
        <f>Tabelle1[[#This Row],[Kosten KH 6]]/$G$3</f>
        <v>2.0932373430656934</v>
      </c>
      <c r="W16" s="5">
        <f>H16*$L$5</f>
        <v>216.828756</v>
      </c>
      <c r="X16" s="5">
        <f>I16*$L$5</f>
        <v>244.80665999999999</v>
      </c>
      <c r="Y16" s="11">
        <f t="shared" si="7"/>
        <v>1.2558139534883721</v>
      </c>
      <c r="Z16" s="11">
        <f t="shared" si="8"/>
        <v>0.51348095988140452</v>
      </c>
      <c r="AA16" s="11">
        <f t="shared" si="9"/>
        <v>1.0192307692307692</v>
      </c>
      <c r="AB16" s="11">
        <f t="shared" si="10"/>
        <v>-9.184887277670796E-2</v>
      </c>
      <c r="AC16" s="11">
        <f t="shared" si="1"/>
        <v>1.0886075949367089</v>
      </c>
      <c r="AD16" s="11">
        <f t="shared" si="11"/>
        <v>-3.0032997147704226E-2</v>
      </c>
      <c r="AE16" s="11">
        <f>E16/E$3</f>
        <v>1.1355932203389831</v>
      </c>
      <c r="AF16" s="11">
        <f t="shared" si="12"/>
        <v>1.1831956266693294E-2</v>
      </c>
      <c r="AG16" s="11">
        <f>F16/F$3</f>
        <v>0.875</v>
      </c>
      <c r="AH16" s="11">
        <f t="shared" si="13"/>
        <v>-0.22036082474226809</v>
      </c>
      <c r="AI16" s="11">
        <f>G16/G$3</f>
        <v>0.59854014598540151</v>
      </c>
      <c r="AJ16" s="16">
        <f t="shared" si="14"/>
        <v>-0.46669103340034185</v>
      </c>
      <c r="AK16" s="11">
        <f>H16/H$3</f>
        <v>0.53913043478260869</v>
      </c>
      <c r="AL16" s="11">
        <f t="shared" si="15"/>
        <v>-0.5196260485368509</v>
      </c>
      <c r="AM16" s="11">
        <f>I16/I$3</f>
        <v>0.79545454545454541</v>
      </c>
      <c r="AN16" s="11">
        <f t="shared" si="16"/>
        <v>-0.29123711340206193</v>
      </c>
      <c r="AO16" s="11">
        <f>SUM(B16:I16)/SUM($B$3:$I$3)</f>
        <v>0.82975206611570251</v>
      </c>
    </row>
    <row r="17" spans="1:41">
      <c r="A17" s="12" t="s">
        <v>55</v>
      </c>
      <c r="B17" s="12">
        <v>1</v>
      </c>
      <c r="C17" s="12">
        <v>1</v>
      </c>
      <c r="D17" s="12">
        <v>0</v>
      </c>
      <c r="E17" s="12">
        <v>0</v>
      </c>
      <c r="F17" s="12">
        <v>0</v>
      </c>
      <c r="G17" s="12">
        <v>53</v>
      </c>
      <c r="H17" s="12">
        <v>0</v>
      </c>
      <c r="I17" s="12">
        <v>2</v>
      </c>
      <c r="J17" s="12">
        <f t="shared" si="2"/>
        <v>57</v>
      </c>
      <c r="K17" s="13">
        <v>40</v>
      </c>
      <c r="L17" s="5">
        <f t="shared" si="3"/>
        <v>2.3314919999999999</v>
      </c>
      <c r="M17" s="5">
        <f t="shared" si="4"/>
        <v>132.89504399999998</v>
      </c>
      <c r="N17" s="5">
        <f>Tabelle1[[#This Row],[Kosten Gesamt]]/$J$3</f>
        <v>0.21966122975206609</v>
      </c>
      <c r="O17" s="5">
        <f>Tabelle1[[#This Row],[Kosten Gesamt]]/8</f>
        <v>16.611880499999998</v>
      </c>
      <c r="P17" s="5">
        <f t="shared" si="5"/>
        <v>3.4972379999999998</v>
      </c>
      <c r="Q17" s="5">
        <f t="shared" si="6"/>
        <v>3.4972379999999998</v>
      </c>
      <c r="R17" s="5">
        <f t="shared" si="0"/>
        <v>0</v>
      </c>
      <c r="S17" s="5">
        <f t="shared" si="0"/>
        <v>0</v>
      </c>
      <c r="T17" s="5">
        <f t="shared" si="0"/>
        <v>0</v>
      </c>
      <c r="U17" s="5">
        <f t="shared" si="0"/>
        <v>185.35361399999999</v>
      </c>
      <c r="V17" s="5">
        <f>Tabelle1[[#This Row],[Kosten KH 6]]/$G$3</f>
        <v>1.3529460875912409</v>
      </c>
      <c r="W17" s="5">
        <f>H17*$L$5</f>
        <v>0</v>
      </c>
      <c r="X17" s="5">
        <f>I17*$L$5</f>
        <v>6.9944759999999997</v>
      </c>
      <c r="Y17" s="11">
        <f t="shared" si="7"/>
        <v>2.3255813953488372E-2</v>
      </c>
      <c r="Z17" s="11">
        <f t="shared" si="8"/>
        <v>-0.75316197470420232</v>
      </c>
      <c r="AA17" s="11">
        <f t="shared" si="9"/>
        <v>1.9230769230769232E-2</v>
      </c>
      <c r="AB17" s="11">
        <f t="shared" si="10"/>
        <v>-0.9828650730712587</v>
      </c>
      <c r="AC17" s="11">
        <f t="shared" si="1"/>
        <v>0</v>
      </c>
      <c r="AD17" s="11">
        <f t="shared" si="11"/>
        <v>-1</v>
      </c>
      <c r="AE17" s="11">
        <f>E17/E$3</f>
        <v>0</v>
      </c>
      <c r="AF17" s="11">
        <f t="shared" si="12"/>
        <v>-1</v>
      </c>
      <c r="AG17" s="11">
        <f>F17/F$3</f>
        <v>0</v>
      </c>
      <c r="AH17" s="11">
        <f t="shared" si="13"/>
        <v>-1</v>
      </c>
      <c r="AI17" s="11">
        <f>G17/G$3</f>
        <v>0.38686131386861317</v>
      </c>
      <c r="AJ17" s="16">
        <f t="shared" si="14"/>
        <v>-0.65530030207583068</v>
      </c>
      <c r="AK17" s="11">
        <f>H17/H$3</f>
        <v>0</v>
      </c>
      <c r="AL17" s="11">
        <f t="shared" si="15"/>
        <v>-1</v>
      </c>
      <c r="AM17" s="11">
        <f>I17/I$3</f>
        <v>2.2727272727272728E-2</v>
      </c>
      <c r="AN17" s="11">
        <f t="shared" si="16"/>
        <v>-0.97974963181148755</v>
      </c>
      <c r="AO17" s="11">
        <f>SUM(B17:I17)/SUM($B$3:$I$3)</f>
        <v>9.4214876033057851E-2</v>
      </c>
    </row>
    <row r="18" spans="1:41">
      <c r="A18" s="12" t="s">
        <v>56</v>
      </c>
      <c r="B18" s="12">
        <v>1</v>
      </c>
      <c r="C18" s="12">
        <v>1</v>
      </c>
      <c r="D18" s="12">
        <v>0</v>
      </c>
      <c r="E18" s="12">
        <v>0</v>
      </c>
      <c r="F18" s="12">
        <v>1</v>
      </c>
      <c r="G18" s="12">
        <v>53</v>
      </c>
      <c r="H18" s="12">
        <v>0</v>
      </c>
      <c r="I18" s="12">
        <v>0</v>
      </c>
      <c r="J18" s="12">
        <f t="shared" si="2"/>
        <v>56</v>
      </c>
      <c r="K18" s="13">
        <v>40</v>
      </c>
      <c r="L18" s="5">
        <f t="shared" si="3"/>
        <v>2.3314919999999999</v>
      </c>
      <c r="M18" s="5">
        <f t="shared" si="4"/>
        <v>130.56355199999999</v>
      </c>
      <c r="N18" s="5">
        <f>Tabelle1[[#This Row],[Kosten Gesamt]]/$J$3</f>
        <v>0.21580752396694214</v>
      </c>
      <c r="O18" s="5">
        <f>Tabelle1[[#This Row],[Kosten Gesamt]]/8</f>
        <v>16.320443999999998</v>
      </c>
      <c r="P18" s="5">
        <f t="shared" si="5"/>
        <v>3.4972379999999998</v>
      </c>
      <c r="Q18" s="5">
        <f t="shared" si="6"/>
        <v>3.4972379999999998</v>
      </c>
      <c r="R18" s="5">
        <f t="shared" si="0"/>
        <v>0</v>
      </c>
      <c r="S18" s="5">
        <f t="shared" si="0"/>
        <v>0</v>
      </c>
      <c r="T18" s="5">
        <f t="shared" si="0"/>
        <v>3.4972379999999998</v>
      </c>
      <c r="U18" s="5">
        <f t="shared" si="0"/>
        <v>185.35361399999999</v>
      </c>
      <c r="V18" s="5">
        <f>Tabelle1[[#This Row],[Kosten KH 6]]/$G$3</f>
        <v>1.3529460875912409</v>
      </c>
      <c r="W18" s="5">
        <f>H18*$L$5</f>
        <v>0</v>
      </c>
      <c r="X18" s="5">
        <f>I18*$L$5</f>
        <v>0</v>
      </c>
      <c r="Y18" s="11">
        <f t="shared" si="7"/>
        <v>2.3255813953488372E-2</v>
      </c>
      <c r="Z18" s="11">
        <f t="shared" si="8"/>
        <v>-0.74875415282392022</v>
      </c>
      <c r="AA18" s="11">
        <f t="shared" si="9"/>
        <v>1.9230769230769232E-2</v>
      </c>
      <c r="AB18" s="11">
        <f t="shared" si="10"/>
        <v>-0.9828650730712587</v>
      </c>
      <c r="AC18" s="11">
        <f t="shared" si="1"/>
        <v>0</v>
      </c>
      <c r="AD18" s="11">
        <f t="shared" si="11"/>
        <v>-1</v>
      </c>
      <c r="AE18" s="11">
        <f>E18/E$3</f>
        <v>0</v>
      </c>
      <c r="AF18" s="11">
        <f t="shared" si="12"/>
        <v>-1</v>
      </c>
      <c r="AG18" s="11">
        <f>F18/F$3</f>
        <v>3.125E-2</v>
      </c>
      <c r="AH18" s="11">
        <f t="shared" si="13"/>
        <v>-0.97215574374079528</v>
      </c>
      <c r="AI18" s="11">
        <f>G18/G$3</f>
        <v>0.38686131386861317</v>
      </c>
      <c r="AJ18" s="16">
        <f t="shared" si="14"/>
        <v>-0.65530030207583068</v>
      </c>
      <c r="AK18" s="11">
        <f>H18/H$3</f>
        <v>0</v>
      </c>
      <c r="AL18" s="11">
        <f t="shared" si="15"/>
        <v>-1</v>
      </c>
      <c r="AM18" s="11">
        <f>I18/I$3</f>
        <v>0</v>
      </c>
      <c r="AN18" s="11">
        <f t="shared" si="16"/>
        <v>-1</v>
      </c>
      <c r="AO18" s="11">
        <f>SUM(B18:I18)/SUM($B$3:$I$3)</f>
        <v>9.2561983471074374E-2</v>
      </c>
    </row>
    <row r="19" spans="1:41">
      <c r="A19" s="12" t="s">
        <v>57</v>
      </c>
      <c r="B19" s="12">
        <v>39</v>
      </c>
      <c r="C19" s="12">
        <v>53</v>
      </c>
      <c r="D19" s="12">
        <v>87</v>
      </c>
      <c r="E19" s="12">
        <v>67</v>
      </c>
      <c r="F19" s="12">
        <v>28</v>
      </c>
      <c r="G19" s="12">
        <v>56</v>
      </c>
      <c r="H19" s="12">
        <v>63</v>
      </c>
      <c r="I19" s="12">
        <v>71</v>
      </c>
      <c r="J19" s="12">
        <f t="shared" si="2"/>
        <v>464</v>
      </c>
      <c r="K19" s="13">
        <v>40</v>
      </c>
      <c r="L19" s="5">
        <f t="shared" si="3"/>
        <v>2.3314919999999999</v>
      </c>
      <c r="M19" s="5">
        <f t="shared" si="4"/>
        <v>1081.8122879999999</v>
      </c>
      <c r="N19" s="5">
        <f>Tabelle1[[#This Row],[Kosten Gesamt]]/$J$3</f>
        <v>1.7881194842975203</v>
      </c>
      <c r="O19" s="5">
        <f>Tabelle1[[#This Row],[Kosten Gesamt]]/8</f>
        <v>135.22653599999998</v>
      </c>
      <c r="P19" s="5">
        <f t="shared" si="5"/>
        <v>136.39228199999999</v>
      </c>
      <c r="Q19" s="5">
        <f t="shared" si="6"/>
        <v>185.35361399999999</v>
      </c>
      <c r="R19" s="5">
        <f t="shared" si="0"/>
        <v>304.25970599999999</v>
      </c>
      <c r="S19" s="5">
        <f t="shared" si="0"/>
        <v>234.31494599999999</v>
      </c>
      <c r="T19" s="5">
        <f t="shared" si="0"/>
        <v>97.922663999999997</v>
      </c>
      <c r="U19" s="5">
        <f t="shared" si="0"/>
        <v>195.84532799999999</v>
      </c>
      <c r="V19" s="5">
        <f>Tabelle1[[#This Row],[Kosten KH 6]]/$G$3</f>
        <v>1.4295279416058393</v>
      </c>
      <c r="W19" s="5">
        <f>H19*$L$5</f>
        <v>220.32599399999998</v>
      </c>
      <c r="X19" s="5">
        <f>I19*$L$5</f>
        <v>248.30389799999998</v>
      </c>
      <c r="Y19" s="11">
        <f t="shared" si="7"/>
        <v>0.90697674418604646</v>
      </c>
      <c r="Z19" s="11">
        <f t="shared" si="8"/>
        <v>0.1825882117080993</v>
      </c>
      <c r="AA19" s="11">
        <f t="shared" si="9"/>
        <v>1.0192307692307692</v>
      </c>
      <c r="AB19" s="11">
        <f t="shared" si="10"/>
        <v>-9.184887277670796E-2</v>
      </c>
      <c r="AC19" s="11">
        <f t="shared" si="1"/>
        <v>1.1012658227848102</v>
      </c>
      <c r="AD19" s="11">
        <f t="shared" si="11"/>
        <v>-1.8754311068026309E-2</v>
      </c>
      <c r="AE19" s="11">
        <f>E19/E$3</f>
        <v>1.1355932203389831</v>
      </c>
      <c r="AF19" s="11">
        <f t="shared" si="12"/>
        <v>1.1831956266693294E-2</v>
      </c>
      <c r="AG19" s="11">
        <f>F19/F$3</f>
        <v>0.875</v>
      </c>
      <c r="AH19" s="11">
        <f t="shared" si="13"/>
        <v>-0.22036082474226809</v>
      </c>
      <c r="AI19" s="11">
        <f>G19/G$3</f>
        <v>0.40875912408759124</v>
      </c>
      <c r="AJ19" s="16">
        <f t="shared" si="14"/>
        <v>-0.63578899841974568</v>
      </c>
      <c r="AK19" s="11">
        <f>H19/H$3</f>
        <v>0.54782608695652169</v>
      </c>
      <c r="AL19" s="11">
        <f t="shared" si="15"/>
        <v>-0.51187808157776793</v>
      </c>
      <c r="AM19" s="11">
        <f>I19/I$3</f>
        <v>0.80681818181818177</v>
      </c>
      <c r="AN19" s="11">
        <f t="shared" si="16"/>
        <v>-0.28111192930780571</v>
      </c>
      <c r="AO19" s="11">
        <f>SUM(B19:I19)/SUM($B$3:$I$3)</f>
        <v>0.76694214876033062</v>
      </c>
    </row>
    <row r="20" spans="1:41">
      <c r="A20" s="12" t="s">
        <v>58</v>
      </c>
      <c r="B20" s="12">
        <v>39</v>
      </c>
      <c r="C20" s="12">
        <v>53</v>
      </c>
      <c r="D20" s="12">
        <v>87</v>
      </c>
      <c r="E20" s="12">
        <v>66</v>
      </c>
      <c r="F20" s="12">
        <v>1</v>
      </c>
      <c r="G20" s="12">
        <v>63</v>
      </c>
      <c r="H20" s="12">
        <v>60</v>
      </c>
      <c r="I20" s="12">
        <v>66</v>
      </c>
      <c r="J20" s="12">
        <f t="shared" si="2"/>
        <v>435</v>
      </c>
      <c r="K20" s="13">
        <v>40</v>
      </c>
      <c r="L20" s="5">
        <f t="shared" si="3"/>
        <v>2.3314919999999999</v>
      </c>
      <c r="M20" s="5">
        <f t="shared" si="4"/>
        <v>1014.1990199999999</v>
      </c>
      <c r="N20" s="5">
        <f>Tabelle1[[#This Row],[Kosten Gesamt]]/$J$3</f>
        <v>1.6763620165289255</v>
      </c>
      <c r="O20" s="5">
        <f>Tabelle1[[#This Row],[Kosten Gesamt]]/8</f>
        <v>126.77487749999999</v>
      </c>
      <c r="P20" s="5">
        <f t="shared" si="5"/>
        <v>136.39228199999999</v>
      </c>
      <c r="Q20" s="5">
        <f t="shared" si="6"/>
        <v>185.35361399999999</v>
      </c>
      <c r="R20" s="5">
        <f t="shared" si="0"/>
        <v>304.25970599999999</v>
      </c>
      <c r="S20" s="5">
        <f t="shared" si="0"/>
        <v>230.81770799999998</v>
      </c>
      <c r="T20" s="5">
        <f t="shared" si="0"/>
        <v>3.4972379999999998</v>
      </c>
      <c r="U20" s="5">
        <f t="shared" si="0"/>
        <v>220.32599399999998</v>
      </c>
      <c r="V20" s="5">
        <f>Tabelle1[[#This Row],[Kosten KH 6]]/$G$3</f>
        <v>1.6082189343065691</v>
      </c>
      <c r="W20" s="5">
        <f>H20*$L$5</f>
        <v>209.83427999999998</v>
      </c>
      <c r="X20" s="5">
        <f>I20*$L$5</f>
        <v>230.81770799999998</v>
      </c>
      <c r="Y20" s="11">
        <f t="shared" si="7"/>
        <v>0.90697674418604646</v>
      </c>
      <c r="Z20" s="11">
        <f t="shared" si="8"/>
        <v>0.26142742582197259</v>
      </c>
      <c r="AA20" s="11">
        <f t="shared" si="9"/>
        <v>1.0192307692307692</v>
      </c>
      <c r="AB20" s="11">
        <f t="shared" si="10"/>
        <v>-9.184887277670796E-2</v>
      </c>
      <c r="AC20" s="11">
        <f t="shared" si="1"/>
        <v>1.1012658227848102</v>
      </c>
      <c r="AD20" s="11">
        <f t="shared" si="11"/>
        <v>-1.8754311068026309E-2</v>
      </c>
      <c r="AE20" s="11">
        <f>E20/E$3</f>
        <v>1.1186440677966101</v>
      </c>
      <c r="AF20" s="11">
        <f t="shared" si="12"/>
        <v>-3.2700132298246736E-3</v>
      </c>
      <c r="AG20" s="11">
        <f>F20/F$3</f>
        <v>3.125E-2</v>
      </c>
      <c r="AH20" s="11">
        <f t="shared" si="13"/>
        <v>-0.97215574374079528</v>
      </c>
      <c r="AI20" s="11">
        <f>G20/G$3</f>
        <v>0.45985401459854014</v>
      </c>
      <c r="AJ20" s="16">
        <f t="shared" si="14"/>
        <v>-0.5902626232222139</v>
      </c>
      <c r="AK20" s="11">
        <f>H20/H$3</f>
        <v>0.52173913043478259</v>
      </c>
      <c r="AL20" s="11">
        <f t="shared" si="15"/>
        <v>-0.53512198245501696</v>
      </c>
      <c r="AM20" s="11">
        <f>I20/I$3</f>
        <v>0.75</v>
      </c>
      <c r="AN20" s="11">
        <f t="shared" si="16"/>
        <v>-0.33173784977908694</v>
      </c>
      <c r="AO20" s="11">
        <f>SUM(B20:I20)/SUM($B$3:$I$3)</f>
        <v>0.71900826446280997</v>
      </c>
    </row>
    <row r="21" spans="1:41">
      <c r="A21" s="12" t="s">
        <v>59</v>
      </c>
      <c r="B21" s="12">
        <v>38</v>
      </c>
      <c r="C21" s="12">
        <v>53</v>
      </c>
      <c r="D21" s="12">
        <v>87</v>
      </c>
      <c r="E21" s="12">
        <v>65</v>
      </c>
      <c r="F21" s="12">
        <v>28</v>
      </c>
      <c r="G21" s="12">
        <v>53</v>
      </c>
      <c r="H21" s="12">
        <v>61</v>
      </c>
      <c r="I21" s="12">
        <v>68</v>
      </c>
      <c r="J21" s="12">
        <f t="shared" si="2"/>
        <v>453</v>
      </c>
      <c r="K21" s="13">
        <v>40</v>
      </c>
      <c r="L21" s="5">
        <f t="shared" si="3"/>
        <v>2.3314919999999999</v>
      </c>
      <c r="M21" s="5">
        <f t="shared" si="4"/>
        <v>1056.165876</v>
      </c>
      <c r="N21" s="5">
        <f>Tabelle1[[#This Row],[Kosten Gesamt]]/$J$3</f>
        <v>1.7457287206611571</v>
      </c>
      <c r="O21" s="5">
        <f>Tabelle1[[#This Row],[Kosten Gesamt]]/8</f>
        <v>132.0207345</v>
      </c>
      <c r="P21" s="5">
        <f t="shared" si="5"/>
        <v>132.89504399999998</v>
      </c>
      <c r="Q21" s="5">
        <f t="shared" si="6"/>
        <v>185.35361399999999</v>
      </c>
      <c r="R21" s="5">
        <f t="shared" si="6"/>
        <v>304.25970599999999</v>
      </c>
      <c r="S21" s="5">
        <f t="shared" si="6"/>
        <v>227.32047</v>
      </c>
      <c r="T21" s="5">
        <f t="shared" si="6"/>
        <v>97.922663999999997</v>
      </c>
      <c r="U21" s="5">
        <f t="shared" si="6"/>
        <v>185.35361399999999</v>
      </c>
      <c r="V21" s="5">
        <f>Tabelle1[[#This Row],[Kosten KH 6]]/$G$3</f>
        <v>1.3529460875912409</v>
      </c>
      <c r="W21" s="5">
        <f>H21*$L$5</f>
        <v>213.33151799999999</v>
      </c>
      <c r="X21" s="5">
        <f t="shared" ref="X21:X60" si="17">I21*$L$5</f>
        <v>237.812184</v>
      </c>
      <c r="Y21" s="11">
        <f t="shared" si="7"/>
        <v>0.88372093023255816</v>
      </c>
      <c r="Z21" s="11">
        <f t="shared" si="8"/>
        <v>0.18024539247394628</v>
      </c>
      <c r="AA21" s="11">
        <f t="shared" si="9"/>
        <v>1.0192307692307692</v>
      </c>
      <c r="AB21" s="11">
        <f t="shared" si="10"/>
        <v>-9.184887277670796E-2</v>
      </c>
      <c r="AC21" s="11">
        <f>D21/D$3</f>
        <v>1.1012658227848102</v>
      </c>
      <c r="AD21" s="11">
        <f t="shared" si="11"/>
        <v>-1.8754311068026309E-2</v>
      </c>
      <c r="AE21" s="11">
        <f>E21/E$3</f>
        <v>1.1016949152542372</v>
      </c>
      <c r="AF21" s="11">
        <f t="shared" si="12"/>
        <v>-1.8371982726342443E-2</v>
      </c>
      <c r="AG21" s="11">
        <f>F21/F$3</f>
        <v>0.875</v>
      </c>
      <c r="AH21" s="11">
        <f t="shared" si="13"/>
        <v>-0.22036082474226809</v>
      </c>
      <c r="AI21" s="11">
        <f>G21/G$3</f>
        <v>0.38686131386861317</v>
      </c>
      <c r="AJ21" s="16">
        <f t="shared" si="14"/>
        <v>-0.65530030207583068</v>
      </c>
      <c r="AK21" s="11">
        <f>H21/H$3</f>
        <v>0.5304347826086957</v>
      </c>
      <c r="AL21" s="11">
        <f t="shared" si="15"/>
        <v>-0.52737401549593388</v>
      </c>
      <c r="AM21" s="11">
        <f t="shared" ref="AM21:AM60" si="18">I21/I$3</f>
        <v>0.77272727272727271</v>
      </c>
      <c r="AN21" s="11">
        <f t="shared" si="16"/>
        <v>-0.31148748159057443</v>
      </c>
      <c r="AO21" s="11">
        <f>SUM(B21:I21)/SUM($B$3:$I$3)</f>
        <v>0.74876033057851243</v>
      </c>
    </row>
    <row r="22" spans="1:41">
      <c r="A22" s="12" t="s">
        <v>60</v>
      </c>
      <c r="B22" s="12">
        <v>38</v>
      </c>
      <c r="C22" s="12">
        <v>53</v>
      </c>
      <c r="D22" s="12">
        <v>87</v>
      </c>
      <c r="E22" s="12">
        <v>65</v>
      </c>
      <c r="F22" s="12">
        <v>28</v>
      </c>
      <c r="G22" s="12">
        <v>27</v>
      </c>
      <c r="H22" s="12">
        <v>61</v>
      </c>
      <c r="I22" s="12">
        <v>71</v>
      </c>
      <c r="J22" s="12">
        <f t="shared" si="2"/>
        <v>430</v>
      </c>
      <c r="K22" s="13">
        <v>40</v>
      </c>
      <c r="L22" s="5">
        <f t="shared" si="3"/>
        <v>2.3314919999999999</v>
      </c>
      <c r="M22" s="5">
        <f t="shared" si="4"/>
        <v>1002.54156</v>
      </c>
      <c r="N22" s="5">
        <f>Tabelle1[[#This Row],[Kosten Gesamt]]/$J$3</f>
        <v>1.6570934876033059</v>
      </c>
      <c r="O22" s="5">
        <f>Tabelle1[[#This Row],[Kosten Gesamt]]/8</f>
        <v>125.317695</v>
      </c>
      <c r="P22" s="5">
        <f t="shared" si="5"/>
        <v>132.89504399999998</v>
      </c>
      <c r="Q22" s="5">
        <f t="shared" si="6"/>
        <v>185.35361399999999</v>
      </c>
      <c r="R22" s="5">
        <f t="shared" si="6"/>
        <v>304.25970599999999</v>
      </c>
      <c r="S22" s="5">
        <f t="shared" si="6"/>
        <v>227.32047</v>
      </c>
      <c r="T22" s="5">
        <f t="shared" si="6"/>
        <v>97.922663999999997</v>
      </c>
      <c r="U22" s="5">
        <f t="shared" si="6"/>
        <v>94.425426000000002</v>
      </c>
      <c r="V22" s="5">
        <f>Tabelle1[[#This Row],[Kosten KH 6]]/$G$3</f>
        <v>0.68923668613138689</v>
      </c>
      <c r="W22" s="5">
        <f>H22*$L$5</f>
        <v>213.33151799999999</v>
      </c>
      <c r="X22" s="5">
        <f t="shared" si="17"/>
        <v>248.30389799999998</v>
      </c>
      <c r="Y22" s="11">
        <f t="shared" si="7"/>
        <v>0.88372093023255816</v>
      </c>
      <c r="Z22" s="11">
        <f t="shared" si="8"/>
        <v>0.24337479718766911</v>
      </c>
      <c r="AA22" s="11">
        <f t="shared" si="9"/>
        <v>1.0192307692307692</v>
      </c>
      <c r="AB22" s="11">
        <f t="shared" si="10"/>
        <v>-9.184887277670796E-2</v>
      </c>
      <c r="AC22" s="11">
        <f>D22/D$3</f>
        <v>1.1012658227848102</v>
      </c>
      <c r="AD22" s="11">
        <f t="shared" si="11"/>
        <v>-1.8754311068026309E-2</v>
      </c>
      <c r="AE22" s="11">
        <f>E22/E$3</f>
        <v>1.1016949152542372</v>
      </c>
      <c r="AF22" s="11">
        <f t="shared" si="12"/>
        <v>-1.8371982726342443E-2</v>
      </c>
      <c r="AG22" s="11">
        <f>F22/F$3</f>
        <v>0.875</v>
      </c>
      <c r="AH22" s="11">
        <f t="shared" si="13"/>
        <v>-0.22036082474226809</v>
      </c>
      <c r="AI22" s="11">
        <f>G22/G$3</f>
        <v>0.19708029197080293</v>
      </c>
      <c r="AJ22" s="16">
        <f t="shared" si="14"/>
        <v>-0.82439826709523456</v>
      </c>
      <c r="AK22" s="11">
        <f>H22/H$3</f>
        <v>0.5304347826086957</v>
      </c>
      <c r="AL22" s="11">
        <f t="shared" si="15"/>
        <v>-0.52737401549593388</v>
      </c>
      <c r="AM22" s="11">
        <f t="shared" si="18"/>
        <v>0.80681818181818177</v>
      </c>
      <c r="AN22" s="11">
        <f t="shared" si="16"/>
        <v>-0.28111192930780571</v>
      </c>
      <c r="AO22" s="11">
        <f>SUM(B22:I22)/SUM($B$3:$I$3)</f>
        <v>0.71074380165289253</v>
      </c>
    </row>
    <row r="23" spans="1:41">
      <c r="A23" s="12" t="s">
        <v>61</v>
      </c>
      <c r="B23" s="12">
        <v>38</v>
      </c>
      <c r="C23" s="12">
        <v>53</v>
      </c>
      <c r="D23" s="12">
        <v>87</v>
      </c>
      <c r="E23" s="12">
        <v>65</v>
      </c>
      <c r="F23" s="12">
        <v>29</v>
      </c>
      <c r="G23" s="12">
        <v>43</v>
      </c>
      <c r="H23" s="12">
        <v>1</v>
      </c>
      <c r="I23" s="12">
        <v>67</v>
      </c>
      <c r="J23" s="12">
        <f t="shared" si="2"/>
        <v>383</v>
      </c>
      <c r="K23" s="13">
        <v>40</v>
      </c>
      <c r="L23" s="5">
        <f t="shared" si="3"/>
        <v>2.3314919999999999</v>
      </c>
      <c r="M23" s="5">
        <f t="shared" si="4"/>
        <v>892.96143599999994</v>
      </c>
      <c r="N23" s="5">
        <f>Tabelle1[[#This Row],[Kosten Gesamt]]/$J$3</f>
        <v>1.4759693157024791</v>
      </c>
      <c r="O23" s="5">
        <f>Tabelle1[[#This Row],[Kosten Gesamt]]/8</f>
        <v>111.62017949999999</v>
      </c>
      <c r="P23" s="5">
        <f t="shared" si="5"/>
        <v>132.89504399999998</v>
      </c>
      <c r="Q23" s="5">
        <f t="shared" si="6"/>
        <v>185.35361399999999</v>
      </c>
      <c r="R23" s="5">
        <f t="shared" si="6"/>
        <v>304.25970599999999</v>
      </c>
      <c r="S23" s="5">
        <f t="shared" si="6"/>
        <v>227.32047</v>
      </c>
      <c r="T23" s="5">
        <f t="shared" si="6"/>
        <v>101.41990199999999</v>
      </c>
      <c r="U23" s="5">
        <f t="shared" si="6"/>
        <v>150.38123400000001</v>
      </c>
      <c r="V23" s="5">
        <f>Tabelle1[[#This Row],[Kosten KH 6]]/$G$3</f>
        <v>1.0976732408759124</v>
      </c>
      <c r="W23" s="5">
        <f>H23*$L$5</f>
        <v>3.4972379999999998</v>
      </c>
      <c r="X23" s="5">
        <f t="shared" si="17"/>
        <v>234.31494599999999</v>
      </c>
      <c r="Y23" s="11">
        <f t="shared" si="7"/>
        <v>0.88372093023255816</v>
      </c>
      <c r="Z23" s="11">
        <f t="shared" si="8"/>
        <v>0.39595603861800965</v>
      </c>
      <c r="AA23" s="11">
        <f t="shared" si="9"/>
        <v>1.0192307692307692</v>
      </c>
      <c r="AB23" s="11">
        <f t="shared" si="10"/>
        <v>-9.184887277670796E-2</v>
      </c>
      <c r="AC23" s="11">
        <f>D23/D$3</f>
        <v>1.1012658227848102</v>
      </c>
      <c r="AD23" s="11">
        <f t="shared" si="11"/>
        <v>-1.8754311068026309E-2</v>
      </c>
      <c r="AE23" s="11">
        <f>E23/E$3</f>
        <v>1.1016949152542372</v>
      </c>
      <c r="AF23" s="11">
        <f t="shared" si="12"/>
        <v>-1.8371982726342443E-2</v>
      </c>
      <c r="AG23" s="11">
        <f>F23/F$3</f>
        <v>0.90625</v>
      </c>
      <c r="AH23" s="11">
        <f t="shared" si="13"/>
        <v>-0.19251656848306339</v>
      </c>
      <c r="AI23" s="11">
        <f>G23/G$3</f>
        <v>0.31386861313868614</v>
      </c>
      <c r="AJ23" s="16">
        <f t="shared" si="14"/>
        <v>-0.72033798092944767</v>
      </c>
      <c r="AK23" s="11">
        <f>H23/H$3</f>
        <v>8.6956521739130436E-3</v>
      </c>
      <c r="AL23" s="11">
        <f t="shared" si="15"/>
        <v>-0.99225203304091703</v>
      </c>
      <c r="AM23" s="11">
        <f t="shared" si="18"/>
        <v>0.76136363636363635</v>
      </c>
      <c r="AN23" s="11">
        <f t="shared" si="16"/>
        <v>-0.32161266568483071</v>
      </c>
      <c r="AO23" s="11">
        <f>SUM(B23:I23)/SUM($B$3:$I$3)</f>
        <v>0.6330578512396694</v>
      </c>
    </row>
    <row r="24" spans="1:41">
      <c r="A24" s="12" t="s">
        <v>62</v>
      </c>
      <c r="B24" s="12">
        <v>1</v>
      </c>
      <c r="C24" s="12">
        <v>0</v>
      </c>
      <c r="D24" s="12">
        <v>81</v>
      </c>
      <c r="E24" s="12">
        <v>2</v>
      </c>
      <c r="F24" s="12">
        <v>0</v>
      </c>
      <c r="G24" s="12">
        <v>19</v>
      </c>
      <c r="H24" s="12">
        <v>12</v>
      </c>
      <c r="I24" s="12">
        <v>2</v>
      </c>
      <c r="J24" s="12">
        <f t="shared" si="2"/>
        <v>117</v>
      </c>
      <c r="K24" s="13">
        <v>40</v>
      </c>
      <c r="L24" s="5">
        <f t="shared" si="3"/>
        <v>2.3314919999999999</v>
      </c>
      <c r="M24" s="5">
        <f t="shared" si="4"/>
        <v>272.78456399999999</v>
      </c>
      <c r="N24" s="5">
        <f>Tabelle1[[#This Row],[Kosten Gesamt]]/$J$3</f>
        <v>0.45088357685950409</v>
      </c>
      <c r="O24" s="5">
        <f>Tabelle1[[#This Row],[Kosten Gesamt]]/8</f>
        <v>34.098070499999999</v>
      </c>
      <c r="P24" s="5">
        <f t="shared" si="5"/>
        <v>3.4972379999999998</v>
      </c>
      <c r="Q24" s="5">
        <f t="shared" si="6"/>
        <v>0</v>
      </c>
      <c r="R24" s="5">
        <f t="shared" si="6"/>
        <v>283.27627799999999</v>
      </c>
      <c r="S24" s="5">
        <f t="shared" si="6"/>
        <v>6.9944759999999997</v>
      </c>
      <c r="T24" s="5">
        <f t="shared" si="6"/>
        <v>0</v>
      </c>
      <c r="U24" s="5">
        <f t="shared" si="6"/>
        <v>66.447521999999992</v>
      </c>
      <c r="V24" s="5">
        <f>Tabelle1[[#This Row],[Kosten KH 6]]/$G$3</f>
        <v>0.48501840875912405</v>
      </c>
      <c r="W24" s="5">
        <f>H24*$L$5</f>
        <v>41.966856</v>
      </c>
      <c r="X24" s="5">
        <f t="shared" si="17"/>
        <v>6.9944759999999997</v>
      </c>
      <c r="Y24" s="11">
        <f t="shared" si="7"/>
        <v>2.3255813953488372E-2</v>
      </c>
      <c r="Z24" s="11">
        <f t="shared" si="8"/>
        <v>-0.87974557741999604</v>
      </c>
      <c r="AA24" s="11">
        <f t="shared" si="9"/>
        <v>0</v>
      </c>
      <c r="AB24" s="11">
        <f t="shared" si="10"/>
        <v>-1</v>
      </c>
      <c r="AC24" s="11">
        <f>D24/D$3</f>
        <v>1.0253164556962024</v>
      </c>
      <c r="AD24" s="11">
        <f t="shared" si="11"/>
        <v>-8.6426427546093615E-2</v>
      </c>
      <c r="AE24" s="11">
        <f>E24/E$3</f>
        <v>3.3898305084745763E-2</v>
      </c>
      <c r="AF24" s="11">
        <f t="shared" si="12"/>
        <v>-0.96979606100696447</v>
      </c>
      <c r="AG24" s="11">
        <f>F24/F$3</f>
        <v>0</v>
      </c>
      <c r="AH24" s="11">
        <f t="shared" si="13"/>
        <v>-1</v>
      </c>
      <c r="AI24" s="11">
        <f>G24/G$3</f>
        <v>0.13868613138686131</v>
      </c>
      <c r="AJ24" s="16">
        <f t="shared" si="14"/>
        <v>-0.876428410178128</v>
      </c>
      <c r="AK24" s="11">
        <f>H24/H$3</f>
        <v>0.10434782608695652</v>
      </c>
      <c r="AL24" s="11">
        <f t="shared" si="15"/>
        <v>-0.9070243964910033</v>
      </c>
      <c r="AM24" s="11">
        <f t="shared" si="18"/>
        <v>2.2727272727272728E-2</v>
      </c>
      <c r="AN24" s="11">
        <f t="shared" si="16"/>
        <v>-0.97974963181148755</v>
      </c>
      <c r="AO24" s="11">
        <f>SUM(B24:I24)/SUM($B$3:$I$3)</f>
        <v>0.1933884297520661</v>
      </c>
    </row>
    <row r="25" spans="1:41">
      <c r="A25" s="12" t="s">
        <v>63</v>
      </c>
      <c r="B25" s="12">
        <v>2</v>
      </c>
      <c r="C25" s="12">
        <v>53</v>
      </c>
      <c r="D25" s="12">
        <v>87</v>
      </c>
      <c r="E25" s="12">
        <v>67</v>
      </c>
      <c r="F25" s="12">
        <v>26</v>
      </c>
      <c r="G25" s="12">
        <v>25</v>
      </c>
      <c r="H25" s="12">
        <v>63</v>
      </c>
      <c r="I25" s="12">
        <v>70</v>
      </c>
      <c r="J25" s="12">
        <f t="shared" si="2"/>
        <v>393</v>
      </c>
      <c r="K25" s="13">
        <v>40</v>
      </c>
      <c r="L25" s="5">
        <f t="shared" si="3"/>
        <v>2.3314919999999999</v>
      </c>
      <c r="M25" s="5">
        <f t="shared" si="4"/>
        <v>916.27635599999996</v>
      </c>
      <c r="N25" s="5">
        <f>Tabelle1[[#This Row],[Kosten Gesamt]]/$J$3</f>
        <v>1.514506373553719</v>
      </c>
      <c r="O25" s="5">
        <f>Tabelle1[[#This Row],[Kosten Gesamt]]/8</f>
        <v>114.5345445</v>
      </c>
      <c r="P25" s="5">
        <f t="shared" si="5"/>
        <v>6.9944759999999997</v>
      </c>
      <c r="Q25" s="5">
        <f t="shared" si="6"/>
        <v>185.35361399999999</v>
      </c>
      <c r="R25" s="5">
        <f t="shared" si="6"/>
        <v>304.25970599999999</v>
      </c>
      <c r="S25" s="5">
        <f t="shared" si="6"/>
        <v>234.31494599999999</v>
      </c>
      <c r="T25" s="5">
        <f t="shared" si="6"/>
        <v>90.928187999999992</v>
      </c>
      <c r="U25" s="5">
        <f t="shared" si="6"/>
        <v>87.430949999999996</v>
      </c>
      <c r="V25" s="5">
        <f>Tabelle1[[#This Row],[Kosten KH 6]]/$G$3</f>
        <v>0.63818211678832115</v>
      </c>
      <c r="W25" s="5">
        <f>H25*$L$5</f>
        <v>220.32599399999998</v>
      </c>
      <c r="X25" s="5">
        <f t="shared" si="17"/>
        <v>244.80665999999999</v>
      </c>
      <c r="Y25" s="11">
        <f t="shared" si="7"/>
        <v>4.6511627906976744E-2</v>
      </c>
      <c r="Z25" s="11">
        <f t="shared" si="8"/>
        <v>-0.92839813006686789</v>
      </c>
      <c r="AA25" s="11">
        <f t="shared" si="9"/>
        <v>1.0192307692307692</v>
      </c>
      <c r="AB25" s="11">
        <f t="shared" si="10"/>
        <v>-9.184887277670796E-2</v>
      </c>
      <c r="AC25" s="11">
        <f>D25/D$3</f>
        <v>1.1012658227848102</v>
      </c>
      <c r="AD25" s="11">
        <f t="shared" si="11"/>
        <v>-1.8754311068026309E-2</v>
      </c>
      <c r="AE25" s="11">
        <f>E25/E$3</f>
        <v>1.1355932203389831</v>
      </c>
      <c r="AF25" s="11">
        <f t="shared" si="12"/>
        <v>1.1831956266693294E-2</v>
      </c>
      <c r="AG25" s="11">
        <f>F25/F$3</f>
        <v>0.8125</v>
      </c>
      <c r="AH25" s="11">
        <f t="shared" si="13"/>
        <v>-0.27604933726067754</v>
      </c>
      <c r="AI25" s="11">
        <f>G25/G$3</f>
        <v>0.18248175182481752</v>
      </c>
      <c r="AJ25" s="16">
        <f t="shared" si="14"/>
        <v>-0.83740580286595789</v>
      </c>
      <c r="AK25" s="11">
        <f>H25/H$3</f>
        <v>0.54782608695652169</v>
      </c>
      <c r="AL25" s="11">
        <f t="shared" si="15"/>
        <v>-0.51187808157776793</v>
      </c>
      <c r="AM25" s="11">
        <f t="shared" si="18"/>
        <v>0.79545454545454541</v>
      </c>
      <c r="AN25" s="11">
        <f t="shared" si="16"/>
        <v>-0.29123711340206193</v>
      </c>
      <c r="AO25" s="11">
        <f>SUM(B25:I25)/SUM($B$3:$I$3)</f>
        <v>0.64958677685950417</v>
      </c>
    </row>
    <row r="26" spans="1:41">
      <c r="A26" s="12" t="s">
        <v>64</v>
      </c>
      <c r="B26" s="12">
        <v>38</v>
      </c>
      <c r="C26" s="12">
        <v>51</v>
      </c>
      <c r="D26" s="12">
        <v>84</v>
      </c>
      <c r="E26" s="12">
        <v>3</v>
      </c>
      <c r="F26" s="12">
        <v>29</v>
      </c>
      <c r="G26" s="12">
        <v>44</v>
      </c>
      <c r="H26" s="12">
        <v>25</v>
      </c>
      <c r="I26" s="12">
        <v>0</v>
      </c>
      <c r="J26" s="12">
        <f t="shared" si="2"/>
        <v>274</v>
      </c>
      <c r="K26" s="13">
        <v>50</v>
      </c>
      <c r="L26" s="5">
        <f t="shared" si="3"/>
        <v>2.9143650000000001</v>
      </c>
      <c r="M26" s="5">
        <f t="shared" si="4"/>
        <v>798.53601000000003</v>
      </c>
      <c r="N26" s="5">
        <f>Tabelle1[[#This Row],[Kosten Gesamt]]/$J$3</f>
        <v>1.3198942314049587</v>
      </c>
      <c r="O26" s="5">
        <f>Tabelle1[[#This Row],[Kosten Gesamt]]/8</f>
        <v>99.817001250000004</v>
      </c>
      <c r="P26" s="5">
        <f t="shared" si="5"/>
        <v>132.89504399999998</v>
      </c>
      <c r="Q26" s="5">
        <f t="shared" si="6"/>
        <v>178.359138</v>
      </c>
      <c r="R26" s="5">
        <f t="shared" si="6"/>
        <v>293.76799199999999</v>
      </c>
      <c r="S26" s="5">
        <f t="shared" si="6"/>
        <v>10.491714</v>
      </c>
      <c r="T26" s="5">
        <f t="shared" si="6"/>
        <v>101.41990199999999</v>
      </c>
      <c r="U26" s="5">
        <f t="shared" si="6"/>
        <v>153.87847199999999</v>
      </c>
      <c r="V26" s="5">
        <f>Tabelle1[[#This Row],[Kosten KH 6]]/$G$3</f>
        <v>1.1232005255474451</v>
      </c>
      <c r="W26" s="5">
        <f>H26*$L$5</f>
        <v>87.430949999999996</v>
      </c>
      <c r="X26" s="5">
        <f t="shared" si="17"/>
        <v>0</v>
      </c>
      <c r="Y26" s="11">
        <f t="shared" si="7"/>
        <v>0.88372093023255816</v>
      </c>
      <c r="Z26" s="11">
        <f t="shared" si="8"/>
        <v>0.95128161602444417</v>
      </c>
      <c r="AA26" s="11">
        <f t="shared" si="9"/>
        <v>0.98076923076923073</v>
      </c>
      <c r="AB26" s="11">
        <f t="shared" si="10"/>
        <v>-0.12611872663419066</v>
      </c>
      <c r="AC26" s="11">
        <f>D26/D$3</f>
        <v>1.0632911392405062</v>
      </c>
      <c r="AD26" s="11">
        <f t="shared" si="11"/>
        <v>-5.2590369307060063E-2</v>
      </c>
      <c r="AE26" s="11">
        <f>E26/E$3</f>
        <v>5.0847457627118647E-2</v>
      </c>
      <c r="AF26" s="11">
        <f t="shared" si="12"/>
        <v>-0.95469409151044649</v>
      </c>
      <c r="AG26" s="11">
        <f>F26/F$3</f>
        <v>0.90625</v>
      </c>
      <c r="AH26" s="11">
        <f t="shared" si="13"/>
        <v>-0.19251656848306339</v>
      </c>
      <c r="AI26" s="11">
        <f>G26/G$3</f>
        <v>0.32116788321167883</v>
      </c>
      <c r="AJ26" s="16">
        <f t="shared" si="14"/>
        <v>-0.7138342130440859</v>
      </c>
      <c r="AK26" s="11">
        <f>H26/H$3</f>
        <v>0.21739130434782608</v>
      </c>
      <c r="AL26" s="11">
        <f t="shared" si="15"/>
        <v>-0.80630082602292374</v>
      </c>
      <c r="AM26" s="11">
        <f t="shared" si="18"/>
        <v>0</v>
      </c>
      <c r="AN26" s="11">
        <f t="shared" si="16"/>
        <v>-1</v>
      </c>
      <c r="AO26" s="11">
        <f>SUM(B26:I26)/SUM($B$3:$I$3)</f>
        <v>0.45289256198347105</v>
      </c>
    </row>
    <row r="27" spans="1:41">
      <c r="A27" s="12" t="s">
        <v>65</v>
      </c>
      <c r="B27" s="12">
        <v>37</v>
      </c>
      <c r="C27" s="12">
        <v>51</v>
      </c>
      <c r="D27" s="12">
        <v>84</v>
      </c>
      <c r="E27" s="12">
        <v>3</v>
      </c>
      <c r="F27" s="12">
        <v>29</v>
      </c>
      <c r="G27" s="12">
        <v>43</v>
      </c>
      <c r="H27" s="12">
        <v>25</v>
      </c>
      <c r="I27" s="12">
        <v>0</v>
      </c>
      <c r="J27" s="12">
        <f t="shared" si="2"/>
        <v>272</v>
      </c>
      <c r="K27" s="13">
        <v>50</v>
      </c>
      <c r="L27" s="5">
        <f t="shared" si="3"/>
        <v>2.9143650000000001</v>
      </c>
      <c r="M27" s="5">
        <f t="shared" si="4"/>
        <v>792.70728000000008</v>
      </c>
      <c r="N27" s="5">
        <f>Tabelle1[[#This Row],[Kosten Gesamt]]/$J$3</f>
        <v>1.3102599669421489</v>
      </c>
      <c r="O27" s="5">
        <f>Tabelle1[[#This Row],[Kosten Gesamt]]/8</f>
        <v>99.08841000000001</v>
      </c>
      <c r="P27" s="5">
        <f t="shared" si="5"/>
        <v>129.397806</v>
      </c>
      <c r="Q27" s="5">
        <f t="shared" si="6"/>
        <v>178.359138</v>
      </c>
      <c r="R27" s="5">
        <f t="shared" si="6"/>
        <v>293.76799199999999</v>
      </c>
      <c r="S27" s="5">
        <f t="shared" si="6"/>
        <v>10.491714</v>
      </c>
      <c r="T27" s="5">
        <f t="shared" si="6"/>
        <v>101.41990199999999</v>
      </c>
      <c r="U27" s="5">
        <f t="shared" si="6"/>
        <v>150.38123400000001</v>
      </c>
      <c r="V27" s="5">
        <f>Tabelle1[[#This Row],[Kosten KH 6]]/$G$3</f>
        <v>1.0976732408759124</v>
      </c>
      <c r="W27" s="5">
        <f>H27*$L$5</f>
        <v>87.430949999999996</v>
      </c>
      <c r="X27" s="5">
        <f t="shared" si="17"/>
        <v>0</v>
      </c>
      <c r="Y27" s="11">
        <f t="shared" si="7"/>
        <v>0.86046511627906974</v>
      </c>
      <c r="Z27" s="11">
        <f t="shared" si="8"/>
        <v>0.91390218878248963</v>
      </c>
      <c r="AA27" s="11">
        <f t="shared" si="9"/>
        <v>0.98076923076923073</v>
      </c>
      <c r="AB27" s="11">
        <f t="shared" si="10"/>
        <v>-0.12611872663419066</v>
      </c>
      <c r="AC27" s="11">
        <f>D27/D$3</f>
        <v>1.0632911392405062</v>
      </c>
      <c r="AD27" s="11">
        <f t="shared" si="11"/>
        <v>-5.2590369307060063E-2</v>
      </c>
      <c r="AE27" s="11">
        <f>E27/E$3</f>
        <v>5.0847457627118647E-2</v>
      </c>
      <c r="AF27" s="11">
        <f t="shared" si="12"/>
        <v>-0.95469409151044649</v>
      </c>
      <c r="AG27" s="11">
        <f>F27/F$3</f>
        <v>0.90625</v>
      </c>
      <c r="AH27" s="11">
        <f t="shared" si="13"/>
        <v>-0.19251656848306339</v>
      </c>
      <c r="AI27" s="11">
        <f>G27/G$3</f>
        <v>0.31386861313868614</v>
      </c>
      <c r="AJ27" s="16">
        <f t="shared" si="14"/>
        <v>-0.72033798092944767</v>
      </c>
      <c r="AK27" s="11">
        <f>H27/H$3</f>
        <v>0.21739130434782608</v>
      </c>
      <c r="AL27" s="11">
        <f t="shared" si="15"/>
        <v>-0.80630082602292374</v>
      </c>
      <c r="AM27" s="11">
        <f t="shared" si="18"/>
        <v>0</v>
      </c>
      <c r="AN27" s="11">
        <f t="shared" si="16"/>
        <v>-1</v>
      </c>
      <c r="AO27" s="11">
        <f>SUM(B27:I27)/SUM($B$3:$I$3)</f>
        <v>0.44958677685950416</v>
      </c>
    </row>
    <row r="28" spans="1:41">
      <c r="A28" s="12" t="s">
        <v>66</v>
      </c>
      <c r="B28" s="12">
        <v>55</v>
      </c>
      <c r="C28" s="12">
        <v>58</v>
      </c>
      <c r="D28" s="12">
        <v>86</v>
      </c>
      <c r="E28" s="12">
        <v>67</v>
      </c>
      <c r="F28" s="12">
        <v>29</v>
      </c>
      <c r="G28" s="12">
        <v>97</v>
      </c>
      <c r="H28" s="12">
        <v>60</v>
      </c>
      <c r="I28" s="12">
        <v>71</v>
      </c>
      <c r="J28" s="12">
        <f t="shared" si="2"/>
        <v>523</v>
      </c>
      <c r="K28" s="13">
        <v>40</v>
      </c>
      <c r="L28" s="5">
        <f t="shared" si="3"/>
        <v>2.3314919999999999</v>
      </c>
      <c r="M28" s="5">
        <f t="shared" si="4"/>
        <v>1219.370316</v>
      </c>
      <c r="N28" s="5">
        <f>Tabelle1[[#This Row],[Kosten Gesamt]]/$J$3</f>
        <v>2.0154881256198349</v>
      </c>
      <c r="O28" s="5">
        <f>Tabelle1[[#This Row],[Kosten Gesamt]]/8</f>
        <v>152.4212895</v>
      </c>
      <c r="P28" s="5">
        <f t="shared" si="5"/>
        <v>192.34808999999998</v>
      </c>
      <c r="Q28" s="5">
        <f t="shared" si="6"/>
        <v>202.83980399999999</v>
      </c>
      <c r="R28" s="5">
        <f t="shared" si="6"/>
        <v>300.76246800000001</v>
      </c>
      <c r="S28" s="5">
        <f t="shared" si="6"/>
        <v>234.31494599999999</v>
      </c>
      <c r="T28" s="5">
        <f t="shared" si="6"/>
        <v>101.41990199999999</v>
      </c>
      <c r="U28" s="5">
        <f t="shared" si="6"/>
        <v>339.23208599999998</v>
      </c>
      <c r="V28" s="5">
        <f>Tabelle1[[#This Row],[Kosten KH 6]]/$G$3</f>
        <v>2.476146613138686</v>
      </c>
      <c r="W28" s="5">
        <f>H28*$L$5</f>
        <v>209.83427999999998</v>
      </c>
      <c r="X28" s="5">
        <f t="shared" si="17"/>
        <v>248.30389799999998</v>
      </c>
      <c r="Y28" s="11">
        <f t="shared" si="7"/>
        <v>1.2790697674418605</v>
      </c>
      <c r="Z28" s="11">
        <f t="shared" si="8"/>
        <v>0.47961225488016374</v>
      </c>
      <c r="AA28" s="11">
        <f t="shared" si="9"/>
        <v>1.1153846153846154</v>
      </c>
      <c r="AB28" s="11">
        <f t="shared" si="10"/>
        <v>-6.174238133001061E-3</v>
      </c>
      <c r="AC28" s="11">
        <f>D28/D$3</f>
        <v>1.0886075949367089</v>
      </c>
      <c r="AD28" s="11">
        <f t="shared" si="11"/>
        <v>-3.0032997147704226E-2</v>
      </c>
      <c r="AE28" s="11">
        <f>E28/E$3</f>
        <v>1.1355932203389831</v>
      </c>
      <c r="AF28" s="11">
        <f t="shared" si="12"/>
        <v>1.1831956266693294E-2</v>
      </c>
      <c r="AG28" s="11">
        <f>F28/F$3</f>
        <v>0.90625</v>
      </c>
      <c r="AH28" s="11">
        <f t="shared" si="13"/>
        <v>-0.19251656848306339</v>
      </c>
      <c r="AI28" s="11">
        <f>G28/G$3</f>
        <v>0.70802919708029199</v>
      </c>
      <c r="AJ28" s="16">
        <f t="shared" si="14"/>
        <v>-0.36913451511991663</v>
      </c>
      <c r="AK28" s="11">
        <f>H28/H$3</f>
        <v>0.52173913043478259</v>
      </c>
      <c r="AL28" s="11">
        <f t="shared" si="15"/>
        <v>-0.53512198245501696</v>
      </c>
      <c r="AM28" s="11">
        <f t="shared" si="18"/>
        <v>0.80681818181818177</v>
      </c>
      <c r="AN28" s="11">
        <f t="shared" si="16"/>
        <v>-0.28111192930780571</v>
      </c>
      <c r="AO28" s="11">
        <f>SUM(B28:I28)/SUM($B$3:$I$3)</f>
        <v>0.86446280991735536</v>
      </c>
    </row>
    <row r="29" spans="1:41">
      <c r="A29" s="12" t="s">
        <v>67</v>
      </c>
      <c r="B29" s="12">
        <v>55</v>
      </c>
      <c r="C29" s="12">
        <v>58</v>
      </c>
      <c r="D29" s="12">
        <v>86</v>
      </c>
      <c r="E29" s="12">
        <v>67</v>
      </c>
      <c r="F29" s="12">
        <v>28</v>
      </c>
      <c r="G29" s="12">
        <v>91</v>
      </c>
      <c r="H29" s="12">
        <v>29</v>
      </c>
      <c r="I29" s="12">
        <v>66</v>
      </c>
      <c r="J29" s="12">
        <f t="shared" si="2"/>
        <v>480</v>
      </c>
      <c r="K29" s="13">
        <v>40</v>
      </c>
      <c r="L29" s="5">
        <f t="shared" si="3"/>
        <v>2.3314919999999999</v>
      </c>
      <c r="M29" s="5">
        <f t="shared" si="4"/>
        <v>1119.11616</v>
      </c>
      <c r="N29" s="5">
        <f>Tabelle1[[#This Row],[Kosten Gesamt]]/$J$3</f>
        <v>1.8497787768595042</v>
      </c>
      <c r="O29" s="5">
        <f>Tabelle1[[#This Row],[Kosten Gesamt]]/8</f>
        <v>139.88952</v>
      </c>
      <c r="P29" s="5">
        <f t="shared" si="5"/>
        <v>192.34808999999998</v>
      </c>
      <c r="Q29" s="5">
        <f t="shared" si="6"/>
        <v>202.83980399999999</v>
      </c>
      <c r="R29" s="5">
        <f t="shared" si="6"/>
        <v>300.76246800000001</v>
      </c>
      <c r="S29" s="5">
        <f t="shared" si="6"/>
        <v>234.31494599999999</v>
      </c>
      <c r="T29" s="5">
        <f t="shared" si="6"/>
        <v>97.922663999999997</v>
      </c>
      <c r="U29" s="5">
        <f t="shared" si="6"/>
        <v>318.24865799999998</v>
      </c>
      <c r="V29" s="5">
        <f>Tabelle1[[#This Row],[Kosten KH 6]]/$G$3</f>
        <v>2.3229829051094888</v>
      </c>
      <c r="W29" s="5">
        <f>H29*$L$5</f>
        <v>101.41990199999999</v>
      </c>
      <c r="X29" s="5">
        <f t="shared" si="17"/>
        <v>230.81770799999998</v>
      </c>
      <c r="Y29" s="11">
        <f t="shared" si="7"/>
        <v>1.2790697674418605</v>
      </c>
      <c r="Z29" s="11">
        <f t="shared" si="8"/>
        <v>0.61216085271317833</v>
      </c>
      <c r="AA29" s="11">
        <f t="shared" si="9"/>
        <v>1.1153846153846154</v>
      </c>
      <c r="AB29" s="11">
        <f t="shared" si="10"/>
        <v>-6.174238133001061E-3</v>
      </c>
      <c r="AC29" s="11">
        <f>D29/D$3</f>
        <v>1.0886075949367089</v>
      </c>
      <c r="AD29" s="11">
        <f t="shared" si="11"/>
        <v>-3.0032997147704226E-2</v>
      </c>
      <c r="AE29" s="11">
        <f>E29/E$3</f>
        <v>1.1355932203389831</v>
      </c>
      <c r="AF29" s="11">
        <f t="shared" si="12"/>
        <v>1.1831956266693294E-2</v>
      </c>
      <c r="AG29" s="11">
        <f>F29/F$3</f>
        <v>0.875</v>
      </c>
      <c r="AH29" s="11">
        <f t="shared" si="13"/>
        <v>-0.22036082474226809</v>
      </c>
      <c r="AI29" s="11">
        <f>G29/G$3</f>
        <v>0.66423357664233573</v>
      </c>
      <c r="AJ29" s="16">
        <f t="shared" si="14"/>
        <v>-0.40815712243208674</v>
      </c>
      <c r="AK29" s="11">
        <f>H29/H$3</f>
        <v>0.25217391304347825</v>
      </c>
      <c r="AL29" s="11">
        <f t="shared" si="15"/>
        <v>-0.77530895818659151</v>
      </c>
      <c r="AM29" s="11">
        <f t="shared" si="18"/>
        <v>0.75</v>
      </c>
      <c r="AN29" s="11">
        <f t="shared" si="16"/>
        <v>-0.33173784977908694</v>
      </c>
      <c r="AO29" s="11">
        <f>SUM(B29:I29)/SUM($B$3:$I$3)</f>
        <v>0.79338842975206614</v>
      </c>
    </row>
    <row r="30" spans="1:41">
      <c r="A30" s="12" t="s">
        <v>68</v>
      </c>
      <c r="B30" s="12">
        <v>1</v>
      </c>
      <c r="C30" s="12">
        <v>51</v>
      </c>
      <c r="D30" s="12">
        <v>82</v>
      </c>
      <c r="E30" s="12">
        <v>64</v>
      </c>
      <c r="F30" s="12">
        <v>1</v>
      </c>
      <c r="G30" s="12">
        <v>56</v>
      </c>
      <c r="H30" s="12">
        <v>17</v>
      </c>
      <c r="I30" s="12">
        <v>2</v>
      </c>
      <c r="J30" s="12">
        <f t="shared" si="2"/>
        <v>274</v>
      </c>
      <c r="K30" s="13">
        <v>40</v>
      </c>
      <c r="L30" s="5">
        <f t="shared" si="3"/>
        <v>2.3314919999999999</v>
      </c>
      <c r="M30" s="5">
        <f t="shared" si="4"/>
        <v>638.82880799999998</v>
      </c>
      <c r="N30" s="5">
        <f>Tabelle1[[#This Row],[Kosten Gesamt]]/$J$3</f>
        <v>1.0559153851239669</v>
      </c>
      <c r="O30" s="5">
        <f>Tabelle1[[#This Row],[Kosten Gesamt]]/8</f>
        <v>79.853600999999998</v>
      </c>
      <c r="P30" s="5">
        <f t="shared" si="5"/>
        <v>3.4972379999999998</v>
      </c>
      <c r="Q30" s="5">
        <f t="shared" si="6"/>
        <v>178.359138</v>
      </c>
      <c r="R30" s="5">
        <f t="shared" si="6"/>
        <v>286.77351599999997</v>
      </c>
      <c r="S30" s="5">
        <f t="shared" si="6"/>
        <v>223.82323199999999</v>
      </c>
      <c r="T30" s="5">
        <f t="shared" si="6"/>
        <v>3.4972379999999998</v>
      </c>
      <c r="U30" s="5">
        <f t="shared" si="6"/>
        <v>195.84532799999999</v>
      </c>
      <c r="V30" s="5">
        <f>Tabelle1[[#This Row],[Kosten KH 6]]/$G$3</f>
        <v>1.4295279416058393</v>
      </c>
      <c r="W30" s="5">
        <f>H30*$L$5</f>
        <v>59.453046000000001</v>
      </c>
      <c r="X30" s="5">
        <f t="shared" si="17"/>
        <v>6.9944759999999997</v>
      </c>
      <c r="Y30" s="11">
        <f t="shared" si="7"/>
        <v>2.3255813953488372E-2</v>
      </c>
      <c r="Z30" s="11">
        <f t="shared" si="8"/>
        <v>-0.94865048378883043</v>
      </c>
      <c r="AA30" s="11">
        <f t="shared" si="9"/>
        <v>0.98076923076923073</v>
      </c>
      <c r="AB30" s="11">
        <f t="shared" si="10"/>
        <v>-0.12611872663419066</v>
      </c>
      <c r="AC30" s="11">
        <f>D30/D$3</f>
        <v>1.0379746835443038</v>
      </c>
      <c r="AD30" s="11">
        <f t="shared" si="11"/>
        <v>-7.5147741466415702E-2</v>
      </c>
      <c r="AE30" s="11">
        <f>E30/E$3</f>
        <v>1.0847457627118644</v>
      </c>
      <c r="AF30" s="11">
        <f t="shared" si="12"/>
        <v>-3.3473952222860211E-2</v>
      </c>
      <c r="AG30" s="11">
        <f>F30/F$3</f>
        <v>3.125E-2</v>
      </c>
      <c r="AH30" s="11">
        <f t="shared" si="13"/>
        <v>-0.97215574374079528</v>
      </c>
      <c r="AI30" s="11">
        <f>G30/G$3</f>
        <v>0.40875912408759124</v>
      </c>
      <c r="AJ30" s="16">
        <f t="shared" si="14"/>
        <v>-0.63578899841974568</v>
      </c>
      <c r="AK30" s="11">
        <f>H30/H$3</f>
        <v>0.14782608695652175</v>
      </c>
      <c r="AL30" s="11">
        <f t="shared" si="15"/>
        <v>-0.8682845616955881</v>
      </c>
      <c r="AM30" s="11">
        <f t="shared" si="18"/>
        <v>2.2727272727272728E-2</v>
      </c>
      <c r="AN30" s="11">
        <f t="shared" si="16"/>
        <v>-0.97974963181148755</v>
      </c>
      <c r="AO30" s="11">
        <f>SUM(B30:I30)/SUM($B$3:$I$3)</f>
        <v>0.45289256198347105</v>
      </c>
    </row>
    <row r="31" spans="1:41">
      <c r="A31" s="12" t="s">
        <v>69</v>
      </c>
      <c r="B31" s="12">
        <v>37</v>
      </c>
      <c r="C31" s="12">
        <v>53</v>
      </c>
      <c r="D31" s="12">
        <v>87</v>
      </c>
      <c r="E31" s="12">
        <v>66</v>
      </c>
      <c r="F31" s="12">
        <v>29</v>
      </c>
      <c r="G31" s="12">
        <v>50</v>
      </c>
      <c r="H31" s="12">
        <v>61</v>
      </c>
      <c r="I31" s="12">
        <v>65</v>
      </c>
      <c r="J31" s="12">
        <f t="shared" si="2"/>
        <v>448</v>
      </c>
      <c r="K31" s="13">
        <v>40</v>
      </c>
      <c r="L31" s="5">
        <f t="shared" si="3"/>
        <v>2.3314919999999999</v>
      </c>
      <c r="M31" s="5">
        <f t="shared" si="4"/>
        <v>1044.5084159999999</v>
      </c>
      <c r="N31" s="5">
        <f>Tabelle1[[#This Row],[Kosten Gesamt]]/$J$3</f>
        <v>1.7264601917355371</v>
      </c>
      <c r="O31" s="5">
        <f>Tabelle1[[#This Row],[Kosten Gesamt]]/8</f>
        <v>130.56355199999999</v>
      </c>
      <c r="P31" s="5">
        <f t="shared" si="5"/>
        <v>129.397806</v>
      </c>
      <c r="Q31" s="5">
        <f t="shared" si="6"/>
        <v>185.35361399999999</v>
      </c>
      <c r="R31" s="5">
        <f t="shared" si="6"/>
        <v>304.25970599999999</v>
      </c>
      <c r="S31" s="5">
        <f t="shared" si="6"/>
        <v>230.81770799999998</v>
      </c>
      <c r="T31" s="5">
        <f t="shared" si="6"/>
        <v>101.41990199999999</v>
      </c>
      <c r="U31" s="5">
        <f t="shared" si="6"/>
        <v>174.86189999999999</v>
      </c>
      <c r="V31" s="5">
        <f>Tabelle1[[#This Row],[Kosten KH 6]]/$G$3</f>
        <v>1.2763642335766423</v>
      </c>
      <c r="W31" s="5">
        <f>H31*$L$5</f>
        <v>213.33151799999999</v>
      </c>
      <c r="X31" s="5">
        <f t="shared" si="17"/>
        <v>227.32047</v>
      </c>
      <c r="Y31" s="11">
        <f t="shared" si="7"/>
        <v>0.86046511627906974</v>
      </c>
      <c r="Z31" s="11">
        <f t="shared" si="8"/>
        <v>0.16201204318936882</v>
      </c>
      <c r="AA31" s="11">
        <f t="shared" si="9"/>
        <v>1.0192307692307692</v>
      </c>
      <c r="AB31" s="11">
        <f t="shared" si="10"/>
        <v>-9.184887277670796E-2</v>
      </c>
      <c r="AC31" s="11">
        <f>D31/D$3</f>
        <v>1.1012658227848102</v>
      </c>
      <c r="AD31" s="11">
        <f t="shared" si="11"/>
        <v>-1.8754311068026309E-2</v>
      </c>
      <c r="AE31" s="11">
        <f>E31/E$3</f>
        <v>1.1186440677966101</v>
      </c>
      <c r="AF31" s="11">
        <f t="shared" si="12"/>
        <v>-3.2700132298246736E-3</v>
      </c>
      <c r="AG31" s="11">
        <f>F31/F$3</f>
        <v>0.90625</v>
      </c>
      <c r="AH31" s="11">
        <f t="shared" si="13"/>
        <v>-0.19251656848306339</v>
      </c>
      <c r="AI31" s="11">
        <f>G31/G$3</f>
        <v>0.36496350364963503</v>
      </c>
      <c r="AJ31" s="16">
        <f t="shared" si="14"/>
        <v>-0.67481160573191579</v>
      </c>
      <c r="AK31" s="11">
        <f>H31/H$3</f>
        <v>0.5304347826086957</v>
      </c>
      <c r="AL31" s="11">
        <f t="shared" si="15"/>
        <v>-0.52737401549593388</v>
      </c>
      <c r="AM31" s="11">
        <f t="shared" si="18"/>
        <v>0.73863636363636365</v>
      </c>
      <c r="AN31" s="11">
        <f t="shared" si="16"/>
        <v>-0.34186303387334321</v>
      </c>
      <c r="AO31" s="11">
        <f>SUM(B31:I31)/SUM($B$3:$I$3)</f>
        <v>0.740495867768595</v>
      </c>
    </row>
    <row r="32" spans="1:41">
      <c r="A32" s="12" t="s">
        <v>70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1</v>
      </c>
      <c r="I32" s="12">
        <v>15</v>
      </c>
      <c r="J32" s="12">
        <f t="shared" si="2"/>
        <v>16</v>
      </c>
      <c r="K32" s="13">
        <v>0</v>
      </c>
      <c r="L32" s="5">
        <f t="shared" si="3"/>
        <v>0</v>
      </c>
      <c r="M32" s="5">
        <f t="shared" si="4"/>
        <v>0</v>
      </c>
      <c r="N32" s="5">
        <f>Tabelle1[[#This Row],[Kosten Gesamt]]/$J$3</f>
        <v>0</v>
      </c>
      <c r="O32" s="5">
        <f>Tabelle1[[#This Row],[Kosten Gesamt]]/8</f>
        <v>0</v>
      </c>
      <c r="P32" s="5">
        <f t="shared" si="5"/>
        <v>0</v>
      </c>
      <c r="Q32" s="5">
        <f t="shared" si="6"/>
        <v>0</v>
      </c>
      <c r="R32" s="5">
        <f t="shared" si="6"/>
        <v>0</v>
      </c>
      <c r="S32" s="5">
        <f t="shared" si="6"/>
        <v>0</v>
      </c>
      <c r="T32" s="5">
        <f t="shared" si="6"/>
        <v>0</v>
      </c>
      <c r="U32" s="5">
        <f t="shared" si="6"/>
        <v>0</v>
      </c>
      <c r="V32" s="5">
        <f>Tabelle1[[#This Row],[Kosten KH 6]]/$G$3</f>
        <v>0</v>
      </c>
      <c r="W32" s="5">
        <f>H32*$L$5</f>
        <v>3.4972379999999998</v>
      </c>
      <c r="X32" s="5">
        <f t="shared" si="17"/>
        <v>52.458569999999995</v>
      </c>
      <c r="Y32" s="11">
        <f t="shared" si="7"/>
        <v>0</v>
      </c>
      <c r="Z32" s="11">
        <f t="shared" si="8"/>
        <v>-1</v>
      </c>
      <c r="AA32" s="11">
        <f t="shared" si="9"/>
        <v>0</v>
      </c>
      <c r="AB32" s="11">
        <f t="shared" si="10"/>
        <v>-1</v>
      </c>
      <c r="AC32" s="11">
        <f>D32/D$3</f>
        <v>0</v>
      </c>
      <c r="AD32" s="11">
        <f t="shared" si="11"/>
        <v>-1</v>
      </c>
      <c r="AE32" s="11">
        <f>E32/E$3</f>
        <v>0</v>
      </c>
      <c r="AF32" s="11">
        <f t="shared" si="12"/>
        <v>-1</v>
      </c>
      <c r="AG32" s="11">
        <f>F32/F$3</f>
        <v>0</v>
      </c>
      <c r="AH32" s="11">
        <f t="shared" si="13"/>
        <v>-1</v>
      </c>
      <c r="AI32" s="11">
        <f>G32/G$3</f>
        <v>0</v>
      </c>
      <c r="AJ32" s="16">
        <f t="shared" si="14"/>
        <v>-1</v>
      </c>
      <c r="AK32" s="11">
        <f>H32/H$3</f>
        <v>8.6956521739130436E-3</v>
      </c>
      <c r="AL32" s="11">
        <f t="shared" si="15"/>
        <v>-0.99225203304091703</v>
      </c>
      <c r="AM32" s="11">
        <f t="shared" si="18"/>
        <v>0.17045454545454544</v>
      </c>
      <c r="AN32" s="11">
        <f t="shared" si="16"/>
        <v>-0.84812223858615621</v>
      </c>
      <c r="AO32" s="11">
        <f>SUM(B32:I32)/SUM($B$3:$I$3)</f>
        <v>2.6446280991735537E-2</v>
      </c>
    </row>
    <row r="33" spans="1:41">
      <c r="A33" s="12" t="s">
        <v>71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12</v>
      </c>
      <c r="H33" s="12">
        <v>1</v>
      </c>
      <c r="I33" s="12">
        <v>15</v>
      </c>
      <c r="J33" s="12">
        <f t="shared" si="2"/>
        <v>28</v>
      </c>
      <c r="K33" s="13">
        <v>70</v>
      </c>
      <c r="L33" s="5">
        <f t="shared" si="3"/>
        <v>4.0801109999999996</v>
      </c>
      <c r="M33" s="5">
        <f t="shared" si="4"/>
        <v>114.24310799999999</v>
      </c>
      <c r="N33" s="5">
        <f>Tabelle1[[#This Row],[Kosten Gesamt]]/$J$3</f>
        <v>0.18883158347107437</v>
      </c>
      <c r="O33" s="5">
        <f>Tabelle1[[#This Row],[Kosten Gesamt]]/8</f>
        <v>14.280388499999999</v>
      </c>
      <c r="P33" s="5">
        <f t="shared" si="5"/>
        <v>0</v>
      </c>
      <c r="Q33" s="5">
        <f t="shared" si="6"/>
        <v>0</v>
      </c>
      <c r="R33" s="5">
        <f t="shared" si="6"/>
        <v>0</v>
      </c>
      <c r="S33" s="5">
        <f t="shared" si="6"/>
        <v>0</v>
      </c>
      <c r="T33" s="5">
        <f t="shared" si="6"/>
        <v>0</v>
      </c>
      <c r="U33" s="5">
        <f t="shared" si="6"/>
        <v>41.966856</v>
      </c>
      <c r="V33" s="5">
        <f>Tabelle1[[#This Row],[Kosten KH 6]]/$G$3</f>
        <v>0.30632741605839414</v>
      </c>
      <c r="W33" s="5">
        <f>H33*$L$5</f>
        <v>3.4972379999999998</v>
      </c>
      <c r="X33" s="5">
        <f t="shared" si="17"/>
        <v>52.458569999999995</v>
      </c>
      <c r="Y33" s="11">
        <f t="shared" si="7"/>
        <v>0</v>
      </c>
      <c r="Z33" s="11">
        <f t="shared" si="8"/>
        <v>-1</v>
      </c>
      <c r="AA33" s="11">
        <f t="shared" si="9"/>
        <v>0</v>
      </c>
      <c r="AB33" s="11">
        <f t="shared" si="10"/>
        <v>-1</v>
      </c>
      <c r="AC33" s="11">
        <f>D33/D$3</f>
        <v>0</v>
      </c>
      <c r="AD33" s="11">
        <f t="shared" si="11"/>
        <v>-1</v>
      </c>
      <c r="AE33" s="11">
        <f>E33/E$3</f>
        <v>0</v>
      </c>
      <c r="AF33" s="11">
        <f t="shared" si="12"/>
        <v>-1</v>
      </c>
      <c r="AG33" s="11">
        <f>F33/F$3</f>
        <v>0</v>
      </c>
      <c r="AH33" s="11">
        <f t="shared" si="13"/>
        <v>-1</v>
      </c>
      <c r="AI33" s="11">
        <f>G33/G$3</f>
        <v>8.7591240875912413E-2</v>
      </c>
      <c r="AJ33" s="16">
        <f t="shared" si="14"/>
        <v>-0.92195478537565967</v>
      </c>
      <c r="AK33" s="11">
        <f>H33/H$3</f>
        <v>8.6956521739130436E-3</v>
      </c>
      <c r="AL33" s="11">
        <f t="shared" si="15"/>
        <v>-0.99225203304091703</v>
      </c>
      <c r="AM33" s="11">
        <f t="shared" si="18"/>
        <v>0.17045454545454544</v>
      </c>
      <c r="AN33" s="11">
        <f t="shared" si="16"/>
        <v>-0.84812223858615621</v>
      </c>
      <c r="AO33" s="11">
        <f>SUM(B33:I33)/SUM($B$3:$I$3)</f>
        <v>4.6280991735537187E-2</v>
      </c>
    </row>
    <row r="34" spans="1:41">
      <c r="A34" s="12" t="s">
        <v>72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14</v>
      </c>
      <c r="H34" s="12">
        <v>4</v>
      </c>
      <c r="I34" s="12">
        <v>1</v>
      </c>
      <c r="J34" s="12">
        <f t="shared" si="2"/>
        <v>19</v>
      </c>
      <c r="K34" s="13">
        <v>200</v>
      </c>
      <c r="L34" s="5">
        <f t="shared" si="3"/>
        <v>11.65746</v>
      </c>
      <c r="M34" s="5">
        <f t="shared" si="4"/>
        <v>221.49173999999999</v>
      </c>
      <c r="N34" s="5">
        <f>Tabelle1[[#This Row],[Kosten Gesamt]]/$J$3</f>
        <v>0.36610204958677683</v>
      </c>
      <c r="O34" s="5">
        <f>Tabelle1[[#This Row],[Kosten Gesamt]]/8</f>
        <v>27.686467499999999</v>
      </c>
      <c r="P34" s="5">
        <f t="shared" si="5"/>
        <v>0</v>
      </c>
      <c r="Q34" s="5">
        <f t="shared" si="6"/>
        <v>0</v>
      </c>
      <c r="R34" s="5">
        <f t="shared" si="6"/>
        <v>0</v>
      </c>
      <c r="S34" s="5">
        <f t="shared" si="6"/>
        <v>0</v>
      </c>
      <c r="T34" s="5">
        <f t="shared" si="6"/>
        <v>0</v>
      </c>
      <c r="U34" s="5">
        <f t="shared" si="6"/>
        <v>48.961331999999999</v>
      </c>
      <c r="V34" s="5">
        <f>Tabelle1[[#This Row],[Kosten KH 6]]/$G$3</f>
        <v>0.35738198540145982</v>
      </c>
      <c r="W34" s="5">
        <f>H34*$L$5</f>
        <v>13.988951999999999</v>
      </c>
      <c r="X34" s="5">
        <f t="shared" si="17"/>
        <v>3.4972379999999998</v>
      </c>
      <c r="Y34" s="11">
        <f t="shared" si="7"/>
        <v>0</v>
      </c>
      <c r="Z34" s="11">
        <f t="shared" si="8"/>
        <v>-1</v>
      </c>
      <c r="AA34" s="11">
        <f t="shared" si="9"/>
        <v>0</v>
      </c>
      <c r="AB34" s="11">
        <f t="shared" si="10"/>
        <v>-1</v>
      </c>
      <c r="AC34" s="11">
        <f>D34/D$3</f>
        <v>0</v>
      </c>
      <c r="AD34" s="11">
        <f t="shared" si="11"/>
        <v>-1</v>
      </c>
      <c r="AE34" s="11">
        <f>E34/E$3</f>
        <v>0</v>
      </c>
      <c r="AF34" s="11">
        <f t="shared" si="12"/>
        <v>-1</v>
      </c>
      <c r="AG34" s="11">
        <f>F34/F$3</f>
        <v>0</v>
      </c>
      <c r="AH34" s="11">
        <f t="shared" si="13"/>
        <v>-1</v>
      </c>
      <c r="AI34" s="11">
        <f>G34/G$3</f>
        <v>0.10218978102189781</v>
      </c>
      <c r="AJ34" s="16">
        <f t="shared" si="14"/>
        <v>-0.90894724960493634</v>
      </c>
      <c r="AK34" s="11">
        <f>H34/H$3</f>
        <v>3.4782608695652174E-2</v>
      </c>
      <c r="AL34" s="11">
        <f t="shared" si="15"/>
        <v>-0.96900813216366777</v>
      </c>
      <c r="AM34" s="11">
        <f t="shared" si="18"/>
        <v>1.1363636363636364E-2</v>
      </c>
      <c r="AN34" s="11">
        <f t="shared" si="16"/>
        <v>-0.98987481590574367</v>
      </c>
      <c r="AO34" s="11">
        <f>SUM(B34:I34)/SUM($B$3:$I$3)</f>
        <v>3.1404958677685953E-2</v>
      </c>
    </row>
    <row r="35" spans="1:41">
      <c r="A35" s="12" t="s">
        <v>73</v>
      </c>
      <c r="B35" s="12">
        <v>38</v>
      </c>
      <c r="C35" s="12">
        <v>51</v>
      </c>
      <c r="D35" s="12">
        <v>81</v>
      </c>
      <c r="E35" s="12">
        <v>67</v>
      </c>
      <c r="F35" s="12">
        <v>28</v>
      </c>
      <c r="G35" s="12">
        <v>4</v>
      </c>
      <c r="H35" s="12">
        <v>4</v>
      </c>
      <c r="I35" s="12">
        <v>4</v>
      </c>
      <c r="J35" s="12">
        <f t="shared" si="2"/>
        <v>277</v>
      </c>
      <c r="K35" s="13">
        <v>40</v>
      </c>
      <c r="L35" s="5">
        <f t="shared" si="3"/>
        <v>2.3314919999999999</v>
      </c>
      <c r="M35" s="5">
        <f t="shared" si="4"/>
        <v>645.82328399999994</v>
      </c>
      <c r="N35" s="5">
        <f>Tabelle1[[#This Row],[Kosten Gesamt]]/$J$3</f>
        <v>1.0674765024793387</v>
      </c>
      <c r="O35" s="5">
        <f>Tabelle1[[#This Row],[Kosten Gesamt]]/8</f>
        <v>80.727910499999993</v>
      </c>
      <c r="P35" s="5">
        <f t="shared" si="5"/>
        <v>132.89504399999998</v>
      </c>
      <c r="Q35" s="5">
        <f t="shared" si="6"/>
        <v>178.359138</v>
      </c>
      <c r="R35" s="5">
        <f t="shared" si="6"/>
        <v>283.27627799999999</v>
      </c>
      <c r="S35" s="5">
        <f t="shared" si="6"/>
        <v>234.31494599999999</v>
      </c>
      <c r="T35" s="5">
        <f t="shared" si="6"/>
        <v>97.922663999999997</v>
      </c>
      <c r="U35" s="5">
        <f t="shared" si="6"/>
        <v>13.988951999999999</v>
      </c>
      <c r="V35" s="5">
        <f>Tabelle1[[#This Row],[Kosten KH 6]]/$G$3</f>
        <v>0.10210913868613138</v>
      </c>
      <c r="W35" s="5">
        <f>H35*$L$5</f>
        <v>13.988951999999999</v>
      </c>
      <c r="X35" s="5">
        <f t="shared" si="17"/>
        <v>13.988951999999999</v>
      </c>
      <c r="Y35" s="11">
        <f t="shared" si="7"/>
        <v>0.88372093023255816</v>
      </c>
      <c r="Z35" s="11">
        <f t="shared" si="8"/>
        <v>0.93014860213248263</v>
      </c>
      <c r="AA35" s="11">
        <f t="shared" si="9"/>
        <v>0.98076923076923073</v>
      </c>
      <c r="AB35" s="11">
        <f t="shared" si="10"/>
        <v>-0.12611872663419066</v>
      </c>
      <c r="AC35" s="11">
        <f>D35/D$3</f>
        <v>1.0253164556962024</v>
      </c>
      <c r="AD35" s="11">
        <f t="shared" si="11"/>
        <v>-8.6426427546093615E-2</v>
      </c>
      <c r="AE35" s="11">
        <f>E35/E$3</f>
        <v>1.1355932203389831</v>
      </c>
      <c r="AF35" s="11">
        <f t="shared" si="12"/>
        <v>1.1831956266693294E-2</v>
      </c>
      <c r="AG35" s="11">
        <f>F35/F$3</f>
        <v>0.875</v>
      </c>
      <c r="AH35" s="11">
        <f t="shared" si="13"/>
        <v>-0.22036082474226809</v>
      </c>
      <c r="AI35" s="11">
        <f>G35/G$3</f>
        <v>2.9197080291970802E-2</v>
      </c>
      <c r="AJ35" s="16">
        <f t="shared" si="14"/>
        <v>-0.97398492845855333</v>
      </c>
      <c r="AK35" s="11">
        <f>H35/H$3</f>
        <v>3.4782608695652174E-2</v>
      </c>
      <c r="AL35" s="11">
        <f t="shared" si="15"/>
        <v>-0.96900813216366777</v>
      </c>
      <c r="AM35" s="11">
        <f t="shared" si="18"/>
        <v>4.5454545454545456E-2</v>
      </c>
      <c r="AN35" s="11">
        <f t="shared" si="16"/>
        <v>-0.959499263622975</v>
      </c>
      <c r="AO35" s="11">
        <f>SUM(B35:I35)/SUM($B$3:$I$3)</f>
        <v>0.45785123966942148</v>
      </c>
    </row>
    <row r="36" spans="1:41">
      <c r="A36" s="12" t="s">
        <v>74</v>
      </c>
      <c r="B36" s="12">
        <v>38</v>
      </c>
      <c r="C36" s="12">
        <v>51</v>
      </c>
      <c r="D36" s="12">
        <v>81</v>
      </c>
      <c r="E36" s="12">
        <v>64</v>
      </c>
      <c r="F36" s="12">
        <v>28</v>
      </c>
      <c r="G36" s="12">
        <v>4</v>
      </c>
      <c r="H36" s="12">
        <v>4</v>
      </c>
      <c r="I36" s="12">
        <v>4</v>
      </c>
      <c r="J36" s="12">
        <f t="shared" si="2"/>
        <v>274</v>
      </c>
      <c r="K36" s="13">
        <v>40</v>
      </c>
      <c r="L36" s="5">
        <f t="shared" si="3"/>
        <v>2.3314919999999999</v>
      </c>
      <c r="M36" s="5">
        <f t="shared" si="4"/>
        <v>638.82880799999998</v>
      </c>
      <c r="N36" s="5">
        <f>Tabelle1[[#This Row],[Kosten Gesamt]]/$J$3</f>
        <v>1.0559153851239669</v>
      </c>
      <c r="O36" s="5">
        <f>Tabelle1[[#This Row],[Kosten Gesamt]]/8</f>
        <v>79.853600999999998</v>
      </c>
      <c r="P36" s="5">
        <f t="shared" si="5"/>
        <v>132.89504399999998</v>
      </c>
      <c r="Q36" s="5">
        <f t="shared" si="6"/>
        <v>178.359138</v>
      </c>
      <c r="R36" s="5">
        <f t="shared" si="6"/>
        <v>283.27627799999999</v>
      </c>
      <c r="S36" s="5">
        <f t="shared" si="6"/>
        <v>223.82323199999999</v>
      </c>
      <c r="T36" s="5">
        <f t="shared" si="6"/>
        <v>97.922663999999997</v>
      </c>
      <c r="U36" s="5">
        <f t="shared" si="6"/>
        <v>13.988951999999999</v>
      </c>
      <c r="V36" s="5">
        <f>Tabelle1[[#This Row],[Kosten KH 6]]/$G$3</f>
        <v>0.10210913868613138</v>
      </c>
      <c r="W36" s="5">
        <f>H36*$L$5</f>
        <v>13.988951999999999</v>
      </c>
      <c r="X36" s="5">
        <f t="shared" si="17"/>
        <v>13.988951999999999</v>
      </c>
      <c r="Y36" s="11">
        <f t="shared" si="7"/>
        <v>0.88372093023255816</v>
      </c>
      <c r="Z36" s="11">
        <f t="shared" si="8"/>
        <v>0.95128161602444417</v>
      </c>
      <c r="AA36" s="11">
        <f t="shared" si="9"/>
        <v>0.98076923076923073</v>
      </c>
      <c r="AB36" s="11">
        <f t="shared" si="10"/>
        <v>-0.12611872663419066</v>
      </c>
      <c r="AC36" s="11">
        <f>D36/D$3</f>
        <v>1.0253164556962024</v>
      </c>
      <c r="AD36" s="11">
        <f t="shared" si="11"/>
        <v>-8.6426427546093615E-2</v>
      </c>
      <c r="AE36" s="11">
        <f>E36/E$3</f>
        <v>1.0847457627118644</v>
      </c>
      <c r="AF36" s="11">
        <f t="shared" si="12"/>
        <v>-3.3473952222860211E-2</v>
      </c>
      <c r="AG36" s="11">
        <f>F36/F$3</f>
        <v>0.875</v>
      </c>
      <c r="AH36" s="11">
        <f t="shared" si="13"/>
        <v>-0.22036082474226809</v>
      </c>
      <c r="AI36" s="11">
        <f>G36/G$3</f>
        <v>2.9197080291970802E-2</v>
      </c>
      <c r="AJ36" s="16">
        <f t="shared" si="14"/>
        <v>-0.97398492845855333</v>
      </c>
      <c r="AK36" s="11">
        <f>H36/H$3</f>
        <v>3.4782608695652174E-2</v>
      </c>
      <c r="AL36" s="11">
        <f t="shared" si="15"/>
        <v>-0.96900813216366777</v>
      </c>
      <c r="AM36" s="11">
        <f t="shared" si="18"/>
        <v>4.5454545454545456E-2</v>
      </c>
      <c r="AN36" s="11">
        <f t="shared" si="16"/>
        <v>-0.959499263622975</v>
      </c>
      <c r="AO36" s="11">
        <f>SUM(B36:I36)/SUM($B$3:$I$3)</f>
        <v>0.45289256198347105</v>
      </c>
    </row>
    <row r="37" spans="1:41">
      <c r="A37" s="12" t="s">
        <v>75</v>
      </c>
      <c r="B37" s="12">
        <v>2</v>
      </c>
      <c r="C37" s="12">
        <v>0</v>
      </c>
      <c r="D37" s="12">
        <v>1</v>
      </c>
      <c r="E37" s="12">
        <v>2</v>
      </c>
      <c r="F37" s="12">
        <v>0</v>
      </c>
      <c r="G37" s="12">
        <v>4</v>
      </c>
      <c r="H37" s="12">
        <v>4</v>
      </c>
      <c r="I37" s="12">
        <v>4</v>
      </c>
      <c r="J37" s="12">
        <f t="shared" si="2"/>
        <v>17</v>
      </c>
      <c r="K37" s="13">
        <v>40</v>
      </c>
      <c r="L37" s="5">
        <f t="shared" si="3"/>
        <v>2.3314919999999999</v>
      </c>
      <c r="M37" s="5">
        <f t="shared" si="4"/>
        <v>39.635363999999996</v>
      </c>
      <c r="N37" s="5">
        <f>Tabelle1[[#This Row],[Kosten Gesamt]]/$J$3</f>
        <v>6.5512998347107429E-2</v>
      </c>
      <c r="O37" s="5">
        <f>Tabelle1[[#This Row],[Kosten Gesamt]]/8</f>
        <v>4.9544204999999994</v>
      </c>
      <c r="P37" s="5">
        <f t="shared" si="5"/>
        <v>6.9944759999999997</v>
      </c>
      <c r="Q37" s="5">
        <f t="shared" si="6"/>
        <v>0</v>
      </c>
      <c r="R37" s="5">
        <f t="shared" si="6"/>
        <v>3.4972379999999998</v>
      </c>
      <c r="S37" s="5">
        <f t="shared" si="6"/>
        <v>6.9944759999999997</v>
      </c>
      <c r="T37" s="5">
        <f t="shared" si="6"/>
        <v>0</v>
      </c>
      <c r="U37" s="5">
        <f t="shared" si="6"/>
        <v>13.988951999999999</v>
      </c>
      <c r="V37" s="5">
        <f>Tabelle1[[#This Row],[Kosten KH 6]]/$G$3</f>
        <v>0.10210913868613138</v>
      </c>
      <c r="W37" s="5">
        <f>H37*$L$5</f>
        <v>13.988951999999999</v>
      </c>
      <c r="X37" s="5">
        <f t="shared" si="17"/>
        <v>13.988951999999999</v>
      </c>
      <c r="Y37" s="11">
        <f t="shared" si="7"/>
        <v>4.6511627906976744E-2</v>
      </c>
      <c r="Z37" s="11">
        <f t="shared" si="8"/>
        <v>0.65526675786593691</v>
      </c>
      <c r="AA37" s="11">
        <f t="shared" si="9"/>
        <v>0</v>
      </c>
      <c r="AB37" s="11">
        <f t="shared" si="10"/>
        <v>-1</v>
      </c>
      <c r="AC37" s="11">
        <f>D37/D$3</f>
        <v>1.2658227848101266E-2</v>
      </c>
      <c r="AD37" s="11">
        <f t="shared" si="11"/>
        <v>-0.98872131392032203</v>
      </c>
      <c r="AE37" s="11">
        <f>E37/E$3</f>
        <v>3.3898305084745763E-2</v>
      </c>
      <c r="AF37" s="11">
        <f t="shared" si="12"/>
        <v>-0.96979606100696447</v>
      </c>
      <c r="AG37" s="11">
        <f>F37/F$3</f>
        <v>0</v>
      </c>
      <c r="AH37" s="11">
        <f t="shared" si="13"/>
        <v>-1</v>
      </c>
      <c r="AI37" s="11">
        <f>G37/G$3</f>
        <v>2.9197080291970802E-2</v>
      </c>
      <c r="AJ37" s="16">
        <f t="shared" si="14"/>
        <v>-0.97398492845855333</v>
      </c>
      <c r="AK37" s="11">
        <f>H37/H$3</f>
        <v>3.4782608695652174E-2</v>
      </c>
      <c r="AL37" s="11">
        <f t="shared" si="15"/>
        <v>-0.96900813216366777</v>
      </c>
      <c r="AM37" s="11">
        <f t="shared" si="18"/>
        <v>4.5454545454545456E-2</v>
      </c>
      <c r="AN37" s="11">
        <f t="shared" si="16"/>
        <v>-0.959499263622975</v>
      </c>
      <c r="AO37" s="11">
        <f>SUM(B37:I37)/SUM($B$3:$I$3)</f>
        <v>2.809917355371901E-2</v>
      </c>
    </row>
    <row r="38" spans="1:41">
      <c r="A38" s="12" t="s">
        <v>76</v>
      </c>
      <c r="B38" s="12">
        <v>1</v>
      </c>
      <c r="C38" s="12">
        <v>0</v>
      </c>
      <c r="D38" s="12">
        <v>1</v>
      </c>
      <c r="E38" s="12">
        <v>2</v>
      </c>
      <c r="F38" s="12">
        <v>0</v>
      </c>
      <c r="G38" s="12">
        <v>4</v>
      </c>
      <c r="H38" s="12">
        <v>4</v>
      </c>
      <c r="I38" s="12">
        <v>4</v>
      </c>
      <c r="J38" s="12">
        <f t="shared" si="2"/>
        <v>16</v>
      </c>
      <c r="K38" s="13">
        <v>40</v>
      </c>
      <c r="L38" s="5">
        <f t="shared" si="3"/>
        <v>2.3314919999999999</v>
      </c>
      <c r="M38" s="5">
        <f t="shared" si="4"/>
        <v>37.303871999999998</v>
      </c>
      <c r="N38" s="5">
        <f>Tabelle1[[#This Row],[Kosten Gesamt]]/$J$3</f>
        <v>6.1659292561983471E-2</v>
      </c>
      <c r="O38" s="5">
        <f>Tabelle1[[#This Row],[Kosten Gesamt]]/8</f>
        <v>4.6629839999999998</v>
      </c>
      <c r="P38" s="5">
        <f t="shared" si="5"/>
        <v>3.4972379999999998</v>
      </c>
      <c r="Q38" s="5">
        <f t="shared" si="6"/>
        <v>0</v>
      </c>
      <c r="R38" s="5">
        <f t="shared" si="6"/>
        <v>3.4972379999999998</v>
      </c>
      <c r="S38" s="5">
        <f t="shared" si="6"/>
        <v>6.9944759999999997</v>
      </c>
      <c r="T38" s="5">
        <f t="shared" si="6"/>
        <v>0</v>
      </c>
      <c r="U38" s="5">
        <f t="shared" si="6"/>
        <v>13.988951999999999</v>
      </c>
      <c r="V38" s="5">
        <f>Tabelle1[[#This Row],[Kosten KH 6]]/$G$3</f>
        <v>0.10210913868613138</v>
      </c>
      <c r="W38" s="5">
        <f>H38*$L$5</f>
        <v>13.988951999999999</v>
      </c>
      <c r="X38" s="5">
        <f t="shared" si="17"/>
        <v>13.988951999999999</v>
      </c>
      <c r="Y38" s="11">
        <f t="shared" si="7"/>
        <v>2.3255813953488372E-2</v>
      </c>
      <c r="Z38" s="11">
        <f t="shared" si="8"/>
        <v>-0.12063953488372092</v>
      </c>
      <c r="AA38" s="11">
        <f t="shared" si="9"/>
        <v>0</v>
      </c>
      <c r="AB38" s="11">
        <f t="shared" si="10"/>
        <v>-1</v>
      </c>
      <c r="AC38" s="11">
        <f>D38/D$3</f>
        <v>1.2658227848101266E-2</v>
      </c>
      <c r="AD38" s="11">
        <f t="shared" si="11"/>
        <v>-0.98872131392032203</v>
      </c>
      <c r="AE38" s="11">
        <f>E38/E$3</f>
        <v>3.3898305084745763E-2</v>
      </c>
      <c r="AF38" s="11">
        <f t="shared" si="12"/>
        <v>-0.96979606100696447</v>
      </c>
      <c r="AG38" s="11">
        <f>F38/F$3</f>
        <v>0</v>
      </c>
      <c r="AH38" s="11">
        <f t="shared" si="13"/>
        <v>-1</v>
      </c>
      <c r="AI38" s="11">
        <f>G38/G$3</f>
        <v>2.9197080291970802E-2</v>
      </c>
      <c r="AJ38" s="16">
        <f t="shared" si="14"/>
        <v>-0.97398492845855333</v>
      </c>
      <c r="AK38" s="11">
        <f>H38/H$3</f>
        <v>3.4782608695652174E-2</v>
      </c>
      <c r="AL38" s="11">
        <f t="shared" si="15"/>
        <v>-0.96900813216366777</v>
      </c>
      <c r="AM38" s="11">
        <f t="shared" si="18"/>
        <v>4.5454545454545456E-2</v>
      </c>
      <c r="AN38" s="11">
        <f t="shared" si="16"/>
        <v>-0.959499263622975</v>
      </c>
      <c r="AO38" s="11">
        <f>SUM(B38:I38)/SUM($B$3:$I$3)</f>
        <v>2.6446280991735537E-2</v>
      </c>
    </row>
    <row r="39" spans="1:41">
      <c r="A39" s="12" t="s">
        <v>77</v>
      </c>
      <c r="B39" s="12">
        <v>39</v>
      </c>
      <c r="C39" s="12">
        <v>53</v>
      </c>
      <c r="D39" s="12">
        <v>82</v>
      </c>
      <c r="E39" s="12">
        <v>60</v>
      </c>
      <c r="F39" s="12">
        <v>28</v>
      </c>
      <c r="G39" s="12">
        <v>47</v>
      </c>
      <c r="H39" s="12">
        <v>26</v>
      </c>
      <c r="I39" s="12">
        <v>2</v>
      </c>
      <c r="J39" s="12">
        <f t="shared" si="2"/>
        <v>337</v>
      </c>
      <c r="K39" s="13">
        <v>30</v>
      </c>
      <c r="L39" s="5">
        <f t="shared" si="3"/>
        <v>1.7486189999999999</v>
      </c>
      <c r="M39" s="5">
        <f t="shared" si="4"/>
        <v>589.28460299999995</v>
      </c>
      <c r="N39" s="5">
        <f>Tabelle1[[#This Row],[Kosten Gesamt]]/$J$3</f>
        <v>0.97402413719008252</v>
      </c>
      <c r="O39" s="5">
        <f>Tabelle1[[#This Row],[Kosten Gesamt]]/8</f>
        <v>73.660575374999993</v>
      </c>
      <c r="P39" s="5">
        <f t="shared" si="5"/>
        <v>136.39228199999999</v>
      </c>
      <c r="Q39" s="5">
        <f t="shared" si="6"/>
        <v>185.35361399999999</v>
      </c>
      <c r="R39" s="5">
        <f t="shared" si="6"/>
        <v>286.77351599999997</v>
      </c>
      <c r="S39" s="5">
        <f t="shared" si="6"/>
        <v>209.83427999999998</v>
      </c>
      <c r="T39" s="5">
        <f t="shared" si="6"/>
        <v>97.922663999999997</v>
      </c>
      <c r="U39" s="5">
        <f t="shared" si="6"/>
        <v>164.37018599999999</v>
      </c>
      <c r="V39" s="5">
        <f>Tabelle1[[#This Row],[Kosten KH 6]]/$G$3</f>
        <v>1.1997823795620437</v>
      </c>
      <c r="W39" s="5">
        <f>H39*$L$5</f>
        <v>90.928187999999992</v>
      </c>
      <c r="X39" s="5">
        <f t="shared" si="17"/>
        <v>6.9944759999999997</v>
      </c>
      <c r="Y39" s="11">
        <f t="shared" si="7"/>
        <v>0.90697674418604646</v>
      </c>
      <c r="Z39" s="11">
        <f t="shared" si="8"/>
        <v>0.62825201849423751</v>
      </c>
      <c r="AA39" s="11">
        <f t="shared" si="9"/>
        <v>1.0192307692307692</v>
      </c>
      <c r="AB39" s="11">
        <f t="shared" si="10"/>
        <v>-9.184887277670796E-2</v>
      </c>
      <c r="AC39" s="11">
        <f>D39/D$3</f>
        <v>1.0379746835443038</v>
      </c>
      <c r="AD39" s="11">
        <f t="shared" si="11"/>
        <v>-7.5147741466415702E-2</v>
      </c>
      <c r="AE39" s="11">
        <f>E39/E$3</f>
        <v>1.0169491525423728</v>
      </c>
      <c r="AF39" s="11">
        <f t="shared" si="12"/>
        <v>-9.3881830208931483E-2</v>
      </c>
      <c r="AG39" s="11">
        <f>F39/F$3</f>
        <v>0.875</v>
      </c>
      <c r="AH39" s="11">
        <f t="shared" si="13"/>
        <v>-0.22036082474226809</v>
      </c>
      <c r="AI39" s="11">
        <f>G39/G$3</f>
        <v>0.34306569343065696</v>
      </c>
      <c r="AJ39" s="16">
        <f t="shared" si="14"/>
        <v>-0.69432290938800079</v>
      </c>
      <c r="AK39" s="11">
        <f>H39/H$3</f>
        <v>0.22608695652173913</v>
      </c>
      <c r="AL39" s="11">
        <f t="shared" si="15"/>
        <v>-0.79855285906384066</v>
      </c>
      <c r="AM39" s="11">
        <f t="shared" si="18"/>
        <v>2.2727272727272728E-2</v>
      </c>
      <c r="AN39" s="11">
        <f t="shared" si="16"/>
        <v>-0.97974963181148755</v>
      </c>
      <c r="AO39" s="11">
        <f>SUM(B39:I39)/SUM($B$3:$I$3)</f>
        <v>0.55702479338842981</v>
      </c>
    </row>
    <row r="40" spans="1:41">
      <c r="A40" s="12" t="s">
        <v>78</v>
      </c>
      <c r="B40" s="12">
        <v>39</v>
      </c>
      <c r="C40" s="12">
        <v>58</v>
      </c>
      <c r="D40" s="12">
        <v>81</v>
      </c>
      <c r="E40" s="12">
        <v>62</v>
      </c>
      <c r="F40" s="12">
        <v>29</v>
      </c>
      <c r="G40" s="12">
        <v>77</v>
      </c>
      <c r="H40" s="12">
        <v>11</v>
      </c>
      <c r="I40" s="12">
        <v>64</v>
      </c>
      <c r="J40" s="12">
        <f t="shared" si="2"/>
        <v>421</v>
      </c>
      <c r="K40" s="13">
        <v>40</v>
      </c>
      <c r="L40" s="5">
        <f t="shared" si="3"/>
        <v>2.3314919999999999</v>
      </c>
      <c r="M40" s="5">
        <f t="shared" si="4"/>
        <v>981.558132</v>
      </c>
      <c r="N40" s="5">
        <f>Tabelle1[[#This Row],[Kosten Gesamt]]/$J$3</f>
        <v>1.62241013553719</v>
      </c>
      <c r="O40" s="5">
        <f>Tabelle1[[#This Row],[Kosten Gesamt]]/8</f>
        <v>122.6947665</v>
      </c>
      <c r="P40" s="5">
        <f t="shared" si="5"/>
        <v>136.39228199999999</v>
      </c>
      <c r="Q40" s="5">
        <f t="shared" si="6"/>
        <v>202.83980399999999</v>
      </c>
      <c r="R40" s="5">
        <f t="shared" si="6"/>
        <v>283.27627799999999</v>
      </c>
      <c r="S40" s="5">
        <f t="shared" si="6"/>
        <v>216.828756</v>
      </c>
      <c r="T40" s="5">
        <f t="shared" si="6"/>
        <v>101.41990199999999</v>
      </c>
      <c r="U40" s="5">
        <f t="shared" si="6"/>
        <v>269.28732600000001</v>
      </c>
      <c r="V40" s="5">
        <f>Tabelle1[[#This Row],[Kosten KH 6]]/$G$3</f>
        <v>1.9656009197080293</v>
      </c>
      <c r="W40" s="5">
        <f>H40*$L$5</f>
        <v>38.469617999999997</v>
      </c>
      <c r="X40" s="5">
        <f t="shared" si="17"/>
        <v>223.82323199999999</v>
      </c>
      <c r="Y40" s="11">
        <f t="shared" si="7"/>
        <v>0.90697674418604646</v>
      </c>
      <c r="Z40" s="11">
        <f t="shared" si="8"/>
        <v>0.30337513119372478</v>
      </c>
      <c r="AA40" s="11">
        <f t="shared" si="9"/>
        <v>1.1153846153846154</v>
      </c>
      <c r="AB40" s="11">
        <f t="shared" si="10"/>
        <v>-6.174238133001061E-3</v>
      </c>
      <c r="AC40" s="11">
        <f>D40/D$3</f>
        <v>1.0253164556962024</v>
      </c>
      <c r="AD40" s="11">
        <f t="shared" si="11"/>
        <v>-8.6426427546093615E-2</v>
      </c>
      <c r="AE40" s="11">
        <f>E40/E$3</f>
        <v>1.0508474576271187</v>
      </c>
      <c r="AF40" s="11">
        <f t="shared" si="12"/>
        <v>-6.3677891215895746E-2</v>
      </c>
      <c r="AG40" s="11">
        <f>F40/F$3</f>
        <v>0.90625</v>
      </c>
      <c r="AH40" s="11">
        <f t="shared" si="13"/>
        <v>-0.19251656848306339</v>
      </c>
      <c r="AI40" s="11">
        <f>G40/G$3</f>
        <v>0.56204379562043794</v>
      </c>
      <c r="AJ40" s="16">
        <f t="shared" si="14"/>
        <v>-0.49920987282715035</v>
      </c>
      <c r="AK40" s="11">
        <f>H40/H$3</f>
        <v>9.5652173913043481E-2</v>
      </c>
      <c r="AL40" s="11">
        <f t="shared" si="15"/>
        <v>-0.91477236345008639</v>
      </c>
      <c r="AM40" s="11">
        <f t="shared" si="18"/>
        <v>0.72727272727272729</v>
      </c>
      <c r="AN40" s="11">
        <f t="shared" si="16"/>
        <v>-0.35198821796759944</v>
      </c>
      <c r="AO40" s="11">
        <f>SUM(B40:I40)/SUM($B$3:$I$3)</f>
        <v>0.69586776859504129</v>
      </c>
    </row>
    <row r="41" spans="1:41">
      <c r="A41" s="12" t="s">
        <v>79</v>
      </c>
      <c r="B41" s="12">
        <v>3</v>
      </c>
      <c r="C41" s="12">
        <v>3</v>
      </c>
      <c r="D41" s="12">
        <v>4</v>
      </c>
      <c r="E41" s="12">
        <v>3</v>
      </c>
      <c r="F41" s="12">
        <v>1</v>
      </c>
      <c r="G41" s="12">
        <v>0</v>
      </c>
      <c r="H41" s="12">
        <v>1</v>
      </c>
      <c r="I41" s="12">
        <v>4</v>
      </c>
      <c r="J41" s="12">
        <f t="shared" si="2"/>
        <v>19</v>
      </c>
      <c r="K41" s="13">
        <v>200</v>
      </c>
      <c r="L41" s="5">
        <f t="shared" si="3"/>
        <v>11.65746</v>
      </c>
      <c r="M41" s="5">
        <f t="shared" si="4"/>
        <v>221.49173999999999</v>
      </c>
      <c r="N41" s="5">
        <f>Tabelle1[[#This Row],[Kosten Gesamt]]/$J$3</f>
        <v>0.36610204958677683</v>
      </c>
      <c r="O41" s="5">
        <f>Tabelle1[[#This Row],[Kosten Gesamt]]/8</f>
        <v>27.686467499999999</v>
      </c>
      <c r="P41" s="5">
        <f t="shared" si="5"/>
        <v>10.491714</v>
      </c>
      <c r="Q41" s="5">
        <f t="shared" si="6"/>
        <v>10.491714</v>
      </c>
      <c r="R41" s="5">
        <f t="shared" si="6"/>
        <v>13.988951999999999</v>
      </c>
      <c r="S41" s="5">
        <f t="shared" si="6"/>
        <v>10.491714</v>
      </c>
      <c r="T41" s="5">
        <f t="shared" si="6"/>
        <v>3.4972379999999998</v>
      </c>
      <c r="U41" s="5">
        <f t="shared" si="6"/>
        <v>0</v>
      </c>
      <c r="V41" s="5">
        <f>Tabelle1[[#This Row],[Kosten KH 6]]/$G$3</f>
        <v>0</v>
      </c>
      <c r="W41" s="5">
        <f>H41*$L$5</f>
        <v>3.4972379999999998</v>
      </c>
      <c r="X41" s="5">
        <f t="shared" si="17"/>
        <v>13.988951999999999</v>
      </c>
      <c r="Y41" s="11">
        <f t="shared" si="7"/>
        <v>6.9767441860465115E-2</v>
      </c>
      <c r="Z41" s="11">
        <f t="shared" si="8"/>
        <v>1.2215422276621786</v>
      </c>
      <c r="AA41" s="11">
        <f t="shared" si="9"/>
        <v>5.7692307692307696E-2</v>
      </c>
      <c r="AB41" s="11">
        <f t="shared" si="10"/>
        <v>-0.94859521921377588</v>
      </c>
      <c r="AC41" s="11">
        <f>D41/D$3</f>
        <v>5.0632911392405063E-2</v>
      </c>
      <c r="AD41" s="11">
        <f t="shared" si="11"/>
        <v>-0.95488525568128857</v>
      </c>
      <c r="AE41" s="11">
        <f>E41/E$3</f>
        <v>5.0847457627118647E-2</v>
      </c>
      <c r="AF41" s="11">
        <f t="shared" si="12"/>
        <v>-0.95469409151044649</v>
      </c>
      <c r="AG41" s="11">
        <f>F41/F$3</f>
        <v>3.125E-2</v>
      </c>
      <c r="AH41" s="11">
        <f t="shared" si="13"/>
        <v>-0.97215574374079528</v>
      </c>
      <c r="AI41" s="11">
        <f>G41/G$3</f>
        <v>0</v>
      </c>
      <c r="AJ41" s="16">
        <f t="shared" si="14"/>
        <v>-1</v>
      </c>
      <c r="AK41" s="11">
        <f>H41/H$3</f>
        <v>8.6956521739130436E-3</v>
      </c>
      <c r="AL41" s="11">
        <f t="shared" si="15"/>
        <v>-0.99225203304091703</v>
      </c>
      <c r="AM41" s="11">
        <f t="shared" si="18"/>
        <v>4.5454545454545456E-2</v>
      </c>
      <c r="AN41" s="11">
        <f t="shared" si="16"/>
        <v>-0.959499263622975</v>
      </c>
      <c r="AO41" s="11">
        <f>SUM(B41:I41)/SUM($B$3:$I$3)</f>
        <v>3.1404958677685953E-2</v>
      </c>
    </row>
    <row r="42" spans="1:41">
      <c r="A42" s="12" t="s">
        <v>80</v>
      </c>
      <c r="B42" s="12">
        <v>49</v>
      </c>
      <c r="C42" s="12">
        <v>59</v>
      </c>
      <c r="D42" s="12">
        <v>86</v>
      </c>
      <c r="E42" s="12">
        <v>134</v>
      </c>
      <c r="F42" s="12">
        <v>32</v>
      </c>
      <c r="G42" s="12">
        <v>94</v>
      </c>
      <c r="H42" s="12">
        <v>62</v>
      </c>
      <c r="I42" s="12">
        <v>71</v>
      </c>
      <c r="J42" s="12">
        <f t="shared" si="2"/>
        <v>587</v>
      </c>
      <c r="K42" s="13">
        <v>200</v>
      </c>
      <c r="L42" s="5">
        <f t="shared" si="3"/>
        <v>11.65746</v>
      </c>
      <c r="M42" s="5">
        <f t="shared" si="4"/>
        <v>6842.9290200000005</v>
      </c>
      <c r="N42" s="5">
        <f>Tabelle1[[#This Row],[Kosten Gesamt]]/$J$3</f>
        <v>11.310626479338843</v>
      </c>
      <c r="O42" s="5">
        <f>Tabelle1[[#This Row],[Kosten Gesamt]]/8</f>
        <v>855.36612750000006</v>
      </c>
      <c r="P42" s="5">
        <f t="shared" si="5"/>
        <v>171.36466199999998</v>
      </c>
      <c r="Q42" s="5">
        <f t="shared" si="6"/>
        <v>206.337042</v>
      </c>
      <c r="R42" s="5">
        <f t="shared" si="6"/>
        <v>300.76246800000001</v>
      </c>
      <c r="S42" s="5">
        <f t="shared" si="6"/>
        <v>468.62989199999998</v>
      </c>
      <c r="T42" s="5">
        <f t="shared" si="6"/>
        <v>111.911616</v>
      </c>
      <c r="U42" s="5">
        <f t="shared" si="6"/>
        <v>328.74037199999998</v>
      </c>
      <c r="V42" s="5">
        <f>Tabelle1[[#This Row],[Kosten KH 6]]/$G$3</f>
        <v>2.3995647591240874</v>
      </c>
      <c r="W42" s="5">
        <f>H42*$L$5</f>
        <v>216.828756</v>
      </c>
      <c r="X42" s="5">
        <f t="shared" si="17"/>
        <v>248.30389799999998</v>
      </c>
      <c r="Y42" s="11">
        <f t="shared" si="7"/>
        <v>1.1395348837209303</v>
      </c>
      <c r="Z42" s="11">
        <f t="shared" si="8"/>
        <v>0.17447803177370153</v>
      </c>
      <c r="AA42" s="11">
        <f t="shared" si="9"/>
        <v>1.1346153846153846</v>
      </c>
      <c r="AB42" s="11">
        <f t="shared" si="10"/>
        <v>1.0960688795740239E-2</v>
      </c>
      <c r="AC42" s="11">
        <f>D42/D$3</f>
        <v>1.0886075949367089</v>
      </c>
      <c r="AD42" s="11">
        <f t="shared" si="11"/>
        <v>-3.0032997147704226E-2</v>
      </c>
      <c r="AE42" s="11">
        <f>E42/E$3</f>
        <v>2.2711864406779663</v>
      </c>
      <c r="AF42" s="11">
        <f t="shared" si="12"/>
        <v>1.0236639125333866</v>
      </c>
      <c r="AG42" s="11">
        <f>F42/F$3</f>
        <v>1</v>
      </c>
      <c r="AH42" s="11">
        <f t="shared" si="13"/>
        <v>-0.10898379970544926</v>
      </c>
      <c r="AI42" s="11">
        <f>G42/G$3</f>
        <v>0.68613138686131392</v>
      </c>
      <c r="AJ42" s="16">
        <f t="shared" si="14"/>
        <v>-0.38864581877600163</v>
      </c>
      <c r="AK42" s="11">
        <f>H42/H$3</f>
        <v>0.53913043478260869</v>
      </c>
      <c r="AL42" s="11">
        <f t="shared" si="15"/>
        <v>-0.5196260485368509</v>
      </c>
      <c r="AM42" s="11">
        <f t="shared" si="18"/>
        <v>0.80681818181818177</v>
      </c>
      <c r="AN42" s="11">
        <f t="shared" si="16"/>
        <v>-0.28111192930780571</v>
      </c>
      <c r="AO42" s="11">
        <f>SUM(B42:I42)/SUM($B$3:$I$3)</f>
        <v>0.97024793388429753</v>
      </c>
    </row>
    <row r="43" spans="1:41">
      <c r="A43" s="12" t="s">
        <v>81</v>
      </c>
      <c r="B43" s="12">
        <v>1</v>
      </c>
      <c r="C43" s="12">
        <v>0</v>
      </c>
      <c r="D43" s="12">
        <v>0</v>
      </c>
      <c r="E43" s="12">
        <v>0</v>
      </c>
      <c r="F43" s="12">
        <v>26</v>
      </c>
      <c r="G43" s="12">
        <v>16</v>
      </c>
      <c r="H43" s="12">
        <v>25</v>
      </c>
      <c r="I43" s="12">
        <v>0</v>
      </c>
      <c r="J43" s="12">
        <f t="shared" si="2"/>
        <v>68</v>
      </c>
      <c r="K43" s="13">
        <v>150</v>
      </c>
      <c r="L43" s="5">
        <f t="shared" si="3"/>
        <v>8.7430950000000003</v>
      </c>
      <c r="M43" s="5">
        <f t="shared" si="4"/>
        <v>594.53046000000006</v>
      </c>
      <c r="N43" s="5">
        <f>Tabelle1[[#This Row],[Kosten Gesamt]]/$J$3</f>
        <v>0.98269497520661164</v>
      </c>
      <c r="O43" s="5">
        <f>Tabelle1[[#This Row],[Kosten Gesamt]]/8</f>
        <v>74.316307500000008</v>
      </c>
      <c r="P43" s="5">
        <f t="shared" si="5"/>
        <v>3.4972379999999998</v>
      </c>
      <c r="Q43" s="5">
        <f t="shared" si="6"/>
        <v>0</v>
      </c>
      <c r="R43" s="5">
        <f t="shared" si="6"/>
        <v>0</v>
      </c>
      <c r="S43" s="5">
        <f t="shared" si="6"/>
        <v>0</v>
      </c>
      <c r="T43" s="5">
        <f t="shared" si="6"/>
        <v>90.928187999999992</v>
      </c>
      <c r="U43" s="5">
        <f t="shared" si="6"/>
        <v>55.955807999999998</v>
      </c>
      <c r="V43" s="5">
        <f>Tabelle1[[#This Row],[Kosten KH 6]]/$G$3</f>
        <v>0.4084365547445255</v>
      </c>
      <c r="W43" s="5">
        <f>H43*$L$5</f>
        <v>87.430949999999996</v>
      </c>
      <c r="X43" s="5">
        <f t="shared" si="17"/>
        <v>0</v>
      </c>
      <c r="Y43" s="11">
        <f t="shared" si="7"/>
        <v>2.3255813953488372E-2</v>
      </c>
      <c r="Z43" s="11">
        <f t="shared" si="8"/>
        <v>-0.79309165526675784</v>
      </c>
      <c r="AA43" s="11">
        <f t="shared" si="9"/>
        <v>0</v>
      </c>
      <c r="AB43" s="11">
        <f t="shared" si="10"/>
        <v>-1</v>
      </c>
      <c r="AC43" s="11">
        <f>D43/D$3</f>
        <v>0</v>
      </c>
      <c r="AD43" s="11">
        <f t="shared" si="11"/>
        <v>-1</v>
      </c>
      <c r="AE43" s="11">
        <f>E43/E$3</f>
        <v>0</v>
      </c>
      <c r="AF43" s="11">
        <f t="shared" si="12"/>
        <v>-1</v>
      </c>
      <c r="AG43" s="11">
        <f>F43/F$3</f>
        <v>0.8125</v>
      </c>
      <c r="AH43" s="11">
        <f t="shared" si="13"/>
        <v>-0.27604933726067754</v>
      </c>
      <c r="AI43" s="11">
        <f>G43/G$3</f>
        <v>0.11678832116788321</v>
      </c>
      <c r="AJ43" s="16">
        <f t="shared" si="14"/>
        <v>-0.895939713834213</v>
      </c>
      <c r="AK43" s="11">
        <f>H43/H$3</f>
        <v>0.21739130434782608</v>
      </c>
      <c r="AL43" s="11">
        <f t="shared" si="15"/>
        <v>-0.80630082602292374</v>
      </c>
      <c r="AM43" s="11">
        <f t="shared" si="18"/>
        <v>0</v>
      </c>
      <c r="AN43" s="11">
        <f t="shared" si="16"/>
        <v>-1</v>
      </c>
      <c r="AO43" s="11">
        <f>SUM(B43:I43)/SUM($B$3:$I$3)</f>
        <v>0.11239669421487604</v>
      </c>
    </row>
    <row r="44" spans="1:41">
      <c r="A44" s="12" t="s">
        <v>82</v>
      </c>
      <c r="B44" s="12">
        <v>1</v>
      </c>
      <c r="C44" s="12">
        <v>26</v>
      </c>
      <c r="D44" s="12">
        <v>13</v>
      </c>
      <c r="E44" s="12">
        <v>36</v>
      </c>
      <c r="F44" s="12">
        <v>1</v>
      </c>
      <c r="G44" s="12">
        <v>6</v>
      </c>
      <c r="H44" s="12">
        <v>2</v>
      </c>
      <c r="I44" s="12">
        <v>7</v>
      </c>
      <c r="J44" s="12">
        <f t="shared" si="2"/>
        <v>92</v>
      </c>
      <c r="K44" s="13">
        <v>300</v>
      </c>
      <c r="L44" s="5">
        <f t="shared" si="3"/>
        <v>17.486190000000001</v>
      </c>
      <c r="M44" s="5">
        <f t="shared" si="4"/>
        <v>1608.72948</v>
      </c>
      <c r="N44" s="5">
        <f>Tabelle1[[#This Row],[Kosten Gesamt]]/$J$3</f>
        <v>2.6590569917355373</v>
      </c>
      <c r="O44" s="5">
        <f>Tabelle1[[#This Row],[Kosten Gesamt]]/8</f>
        <v>201.091185</v>
      </c>
      <c r="P44" s="5">
        <f t="shared" si="5"/>
        <v>3.4972379999999998</v>
      </c>
      <c r="Q44" s="5">
        <f t="shared" si="6"/>
        <v>90.928187999999992</v>
      </c>
      <c r="R44" s="5">
        <f t="shared" si="6"/>
        <v>45.464093999999996</v>
      </c>
      <c r="S44" s="5">
        <f t="shared" si="6"/>
        <v>125.90056799999999</v>
      </c>
      <c r="T44" s="5">
        <f t="shared" si="6"/>
        <v>3.4972379999999998</v>
      </c>
      <c r="U44" s="5">
        <f t="shared" si="6"/>
        <v>20.983428</v>
      </c>
      <c r="V44" s="5">
        <f>Tabelle1[[#This Row],[Kosten KH 6]]/$G$3</f>
        <v>0.15316370802919707</v>
      </c>
      <c r="W44" s="5">
        <f>H44*$L$5</f>
        <v>6.9944759999999997</v>
      </c>
      <c r="X44" s="5">
        <f t="shared" si="17"/>
        <v>24.480665999999999</v>
      </c>
      <c r="Y44" s="11">
        <f t="shared" si="7"/>
        <v>2.3255813953488372E-2</v>
      </c>
      <c r="Z44" s="11">
        <f t="shared" si="8"/>
        <v>-0.84706774519716876</v>
      </c>
      <c r="AA44" s="11">
        <f t="shared" si="9"/>
        <v>0.5</v>
      </c>
      <c r="AB44" s="11">
        <f t="shared" si="10"/>
        <v>-0.55449189985272462</v>
      </c>
      <c r="AC44" s="11">
        <f>D44/D$3</f>
        <v>0.16455696202531644</v>
      </c>
      <c r="AD44" s="11">
        <f t="shared" si="11"/>
        <v>-0.85337708096418785</v>
      </c>
      <c r="AE44" s="11">
        <f>E44/E$3</f>
        <v>0.61016949152542377</v>
      </c>
      <c r="AF44" s="11">
        <f t="shared" si="12"/>
        <v>-0.45632909812535882</v>
      </c>
      <c r="AG44" s="11">
        <f>F44/F$3</f>
        <v>3.125E-2</v>
      </c>
      <c r="AH44" s="11">
        <f t="shared" si="13"/>
        <v>-0.97215574374079528</v>
      </c>
      <c r="AI44" s="11">
        <f>G44/G$3</f>
        <v>4.3795620437956206E-2</v>
      </c>
      <c r="AJ44" s="16">
        <f t="shared" si="14"/>
        <v>-0.96097739268782989</v>
      </c>
      <c r="AK44" s="11">
        <f>H44/H$3</f>
        <v>1.7391304347826087E-2</v>
      </c>
      <c r="AL44" s="11">
        <f t="shared" si="15"/>
        <v>-0.98450406608183394</v>
      </c>
      <c r="AM44" s="11">
        <f t="shared" si="18"/>
        <v>7.9545454545454544E-2</v>
      </c>
      <c r="AN44" s="11">
        <f t="shared" si="16"/>
        <v>-0.9291237113402061</v>
      </c>
      <c r="AO44" s="11">
        <f>SUM(B44:I44)/SUM($B$3:$I$3)</f>
        <v>0.15206611570247933</v>
      </c>
    </row>
    <row r="45" spans="1:41">
      <c r="A45" s="12" t="s">
        <v>83</v>
      </c>
      <c r="B45" s="12">
        <v>0</v>
      </c>
      <c r="C45" s="12">
        <v>5</v>
      </c>
      <c r="D45" s="12">
        <v>5</v>
      </c>
      <c r="E45" s="12">
        <v>0</v>
      </c>
      <c r="F45" s="12">
        <v>0</v>
      </c>
      <c r="G45" s="12">
        <v>4</v>
      </c>
      <c r="H45" s="12">
        <v>0</v>
      </c>
      <c r="I45" s="12">
        <v>2</v>
      </c>
      <c r="J45" s="12">
        <f t="shared" si="2"/>
        <v>16</v>
      </c>
      <c r="K45" s="13">
        <v>300</v>
      </c>
      <c r="L45" s="5">
        <f t="shared" si="3"/>
        <v>17.486190000000001</v>
      </c>
      <c r="M45" s="5">
        <f t="shared" si="4"/>
        <v>279.77904000000001</v>
      </c>
      <c r="N45" s="5">
        <f>Tabelle1[[#This Row],[Kosten Gesamt]]/$J$3</f>
        <v>0.46244469421487605</v>
      </c>
      <c r="O45" s="5">
        <f>Tabelle1[[#This Row],[Kosten Gesamt]]/8</f>
        <v>34.972380000000001</v>
      </c>
      <c r="P45" s="5">
        <f t="shared" si="5"/>
        <v>0</v>
      </c>
      <c r="Q45" s="5">
        <f t="shared" si="6"/>
        <v>17.486190000000001</v>
      </c>
      <c r="R45" s="5">
        <f t="shared" si="6"/>
        <v>17.486190000000001</v>
      </c>
      <c r="S45" s="5">
        <f t="shared" si="6"/>
        <v>0</v>
      </c>
      <c r="T45" s="5">
        <f t="shared" si="6"/>
        <v>0</v>
      </c>
      <c r="U45" s="5">
        <f t="shared" si="6"/>
        <v>13.988951999999999</v>
      </c>
      <c r="V45" s="5">
        <f>Tabelle1[[#This Row],[Kosten KH 6]]/$G$3</f>
        <v>0.10210913868613138</v>
      </c>
      <c r="W45" s="5">
        <f>H45*$L$5</f>
        <v>0</v>
      </c>
      <c r="X45" s="5">
        <f t="shared" si="17"/>
        <v>6.9944759999999997</v>
      </c>
      <c r="Y45" s="11">
        <f t="shared" si="7"/>
        <v>0</v>
      </c>
      <c r="Z45" s="11">
        <f t="shared" si="8"/>
        <v>-1</v>
      </c>
      <c r="AA45" s="11">
        <f t="shared" si="9"/>
        <v>9.6153846153846159E-2</v>
      </c>
      <c r="AB45" s="11">
        <f t="shared" si="10"/>
        <v>-0.91432536535629305</v>
      </c>
      <c r="AC45" s="11">
        <f>D45/D$3</f>
        <v>6.3291139240506333E-2</v>
      </c>
      <c r="AD45" s="11">
        <f t="shared" si="11"/>
        <v>-0.9436065696016106</v>
      </c>
      <c r="AE45" s="11">
        <f>E45/E$3</f>
        <v>0</v>
      </c>
      <c r="AF45" s="11">
        <f t="shared" si="12"/>
        <v>-1</v>
      </c>
      <c r="AG45" s="11">
        <f>F45/F$3</f>
        <v>0</v>
      </c>
      <c r="AH45" s="11">
        <f t="shared" si="13"/>
        <v>-1</v>
      </c>
      <c r="AI45" s="11">
        <f>G45/G$3</f>
        <v>2.9197080291970802E-2</v>
      </c>
      <c r="AJ45" s="16">
        <f t="shared" si="14"/>
        <v>-0.97398492845855333</v>
      </c>
      <c r="AK45" s="11">
        <f>H45/H$3</f>
        <v>0</v>
      </c>
      <c r="AL45" s="11">
        <f t="shared" si="15"/>
        <v>-1</v>
      </c>
      <c r="AM45" s="11">
        <f t="shared" si="18"/>
        <v>2.2727272727272728E-2</v>
      </c>
      <c r="AN45" s="11">
        <f t="shared" si="16"/>
        <v>-0.97974963181148755</v>
      </c>
      <c r="AO45" s="11">
        <f>SUM(B45:I45)/SUM($B$3:$I$3)</f>
        <v>2.6446280991735537E-2</v>
      </c>
    </row>
    <row r="46" spans="1:41">
      <c r="A46" s="12" t="s">
        <v>84</v>
      </c>
      <c r="B46" s="12">
        <v>2</v>
      </c>
      <c r="C46" s="12">
        <v>0</v>
      </c>
      <c r="D46" s="12">
        <v>15</v>
      </c>
      <c r="E46" s="12">
        <v>0</v>
      </c>
      <c r="F46" s="12">
        <v>0</v>
      </c>
      <c r="G46" s="12">
        <v>1</v>
      </c>
      <c r="H46" s="12">
        <v>0</v>
      </c>
      <c r="I46" s="12">
        <v>5</v>
      </c>
      <c r="J46" s="12">
        <f t="shared" si="2"/>
        <v>23</v>
      </c>
      <c r="K46" s="13">
        <v>250</v>
      </c>
      <c r="L46" s="5">
        <f t="shared" si="3"/>
        <v>14.571825</v>
      </c>
      <c r="M46" s="5">
        <f t="shared" si="4"/>
        <v>335.15197499999999</v>
      </c>
      <c r="N46" s="5">
        <f>Tabelle1[[#This Row],[Kosten Gesamt]]/$J$3</f>
        <v>0.55397020661157026</v>
      </c>
      <c r="O46" s="5">
        <f>Tabelle1[[#This Row],[Kosten Gesamt]]/8</f>
        <v>41.893996874999999</v>
      </c>
      <c r="P46" s="5">
        <f t="shared" si="5"/>
        <v>6.9944759999999997</v>
      </c>
      <c r="Q46" s="5">
        <f t="shared" si="6"/>
        <v>0</v>
      </c>
      <c r="R46" s="5">
        <f t="shared" si="6"/>
        <v>52.458569999999995</v>
      </c>
      <c r="S46" s="5">
        <f t="shared" si="6"/>
        <v>0</v>
      </c>
      <c r="T46" s="5">
        <f t="shared" si="6"/>
        <v>0</v>
      </c>
      <c r="U46" s="5">
        <f t="shared" si="6"/>
        <v>3.4972379999999998</v>
      </c>
      <c r="V46" s="5">
        <f>Tabelle1[[#This Row],[Kosten KH 6]]/$G$3</f>
        <v>2.5527284671532844E-2</v>
      </c>
      <c r="W46" s="5">
        <f>H46*$L$5</f>
        <v>0</v>
      </c>
      <c r="X46" s="5">
        <f t="shared" si="17"/>
        <v>17.486190000000001</v>
      </c>
      <c r="Y46" s="11">
        <f t="shared" si="7"/>
        <v>4.6511627906976744E-2</v>
      </c>
      <c r="Z46" s="11">
        <f t="shared" si="8"/>
        <v>0.22345803842264922</v>
      </c>
      <c r="AA46" s="11">
        <f t="shared" si="9"/>
        <v>0</v>
      </c>
      <c r="AB46" s="11">
        <f t="shared" si="10"/>
        <v>-1</v>
      </c>
      <c r="AC46" s="11">
        <f>D46/D$3</f>
        <v>0.189873417721519</v>
      </c>
      <c r="AD46" s="11">
        <f t="shared" si="11"/>
        <v>-0.83081970880483214</v>
      </c>
      <c r="AE46" s="11">
        <f>E46/E$3</f>
        <v>0</v>
      </c>
      <c r="AF46" s="11">
        <f t="shared" si="12"/>
        <v>-1</v>
      </c>
      <c r="AG46" s="11">
        <f>F46/F$3</f>
        <v>0</v>
      </c>
      <c r="AH46" s="11">
        <f t="shared" si="13"/>
        <v>-1</v>
      </c>
      <c r="AI46" s="11">
        <f>G46/G$3</f>
        <v>7.2992700729927005E-3</v>
      </c>
      <c r="AJ46" s="16">
        <f t="shared" si="14"/>
        <v>-0.99349623211463822</v>
      </c>
      <c r="AK46" s="11">
        <f>H46/H$3</f>
        <v>0</v>
      </c>
      <c r="AL46" s="11">
        <f t="shared" si="15"/>
        <v>-1</v>
      </c>
      <c r="AM46" s="11">
        <f t="shared" si="18"/>
        <v>5.6818181818181816E-2</v>
      </c>
      <c r="AN46" s="11">
        <f t="shared" si="16"/>
        <v>-0.94937407952871866</v>
      </c>
      <c r="AO46" s="11">
        <f>SUM(B46:I46)/SUM($B$3:$I$3)</f>
        <v>3.8016528925619832E-2</v>
      </c>
    </row>
    <row r="47" spans="1:41">
      <c r="A47" s="12" t="s">
        <v>85</v>
      </c>
      <c r="B47" s="12">
        <v>0</v>
      </c>
      <c r="C47" s="12">
        <v>0</v>
      </c>
      <c r="D47" s="12">
        <v>13</v>
      </c>
      <c r="E47" s="12">
        <v>0</v>
      </c>
      <c r="F47" s="12">
        <v>0</v>
      </c>
      <c r="G47" s="12">
        <v>1</v>
      </c>
      <c r="H47" s="12">
        <v>0</v>
      </c>
      <c r="I47" s="12">
        <v>5</v>
      </c>
      <c r="J47" s="12">
        <f t="shared" si="2"/>
        <v>19</v>
      </c>
      <c r="K47" s="13">
        <v>300</v>
      </c>
      <c r="L47" s="5">
        <f t="shared" si="3"/>
        <v>17.486190000000001</v>
      </c>
      <c r="M47" s="5">
        <f t="shared" si="4"/>
        <v>332.23761000000002</v>
      </c>
      <c r="N47" s="5">
        <f>Tabelle1[[#This Row],[Kosten Gesamt]]/$J$3</f>
        <v>0.54915307438016536</v>
      </c>
      <c r="O47" s="5">
        <f>Tabelle1[[#This Row],[Kosten Gesamt]]/8</f>
        <v>41.529701250000002</v>
      </c>
      <c r="P47" s="5">
        <f t="shared" si="5"/>
        <v>0</v>
      </c>
      <c r="Q47" s="5">
        <f t="shared" si="6"/>
        <v>0</v>
      </c>
      <c r="R47" s="5">
        <f t="shared" si="6"/>
        <v>45.464093999999996</v>
      </c>
      <c r="S47" s="5">
        <f t="shared" si="6"/>
        <v>0</v>
      </c>
      <c r="T47" s="5">
        <f t="shared" si="6"/>
        <v>0</v>
      </c>
      <c r="U47" s="5">
        <f t="shared" si="6"/>
        <v>3.4972379999999998</v>
      </c>
      <c r="V47" s="5">
        <f>Tabelle1[[#This Row],[Kosten KH 6]]/$G$3</f>
        <v>2.5527284671532844E-2</v>
      </c>
      <c r="W47" s="5">
        <f>H47*$L$5</f>
        <v>0</v>
      </c>
      <c r="X47" s="5">
        <f t="shared" si="17"/>
        <v>17.486190000000001</v>
      </c>
      <c r="Y47" s="11">
        <f t="shared" si="7"/>
        <v>0</v>
      </c>
      <c r="Z47" s="11">
        <f t="shared" si="8"/>
        <v>-1</v>
      </c>
      <c r="AA47" s="11">
        <f t="shared" si="9"/>
        <v>0</v>
      </c>
      <c r="AB47" s="11">
        <f t="shared" si="10"/>
        <v>-1</v>
      </c>
      <c r="AC47" s="11">
        <f>D47/D$3</f>
        <v>0.16455696202531644</v>
      </c>
      <c r="AD47" s="11">
        <f t="shared" si="11"/>
        <v>-0.85337708096418785</v>
      </c>
      <c r="AE47" s="11">
        <f>E47/E$3</f>
        <v>0</v>
      </c>
      <c r="AF47" s="11">
        <f t="shared" si="12"/>
        <v>-1</v>
      </c>
      <c r="AG47" s="11">
        <f>F47/F$3</f>
        <v>0</v>
      </c>
      <c r="AH47" s="11">
        <f t="shared" si="13"/>
        <v>-1</v>
      </c>
      <c r="AI47" s="11">
        <f>G47/G$3</f>
        <v>7.2992700729927005E-3</v>
      </c>
      <c r="AJ47" s="16">
        <f t="shared" si="14"/>
        <v>-0.99349623211463822</v>
      </c>
      <c r="AK47" s="11">
        <f>H47/H$3</f>
        <v>0</v>
      </c>
      <c r="AL47" s="11">
        <f t="shared" si="15"/>
        <v>-1</v>
      </c>
      <c r="AM47" s="11">
        <f t="shared" si="18"/>
        <v>5.6818181818181816E-2</v>
      </c>
      <c r="AN47" s="11">
        <f t="shared" si="16"/>
        <v>-0.94937407952871866</v>
      </c>
      <c r="AO47" s="11">
        <f>SUM(B47:I47)/SUM($B$3:$I$3)</f>
        <v>3.1404958677685953E-2</v>
      </c>
    </row>
    <row r="48" spans="1:41">
      <c r="A48" s="12" t="s">
        <v>86</v>
      </c>
      <c r="B48" s="12">
        <v>3</v>
      </c>
      <c r="C48" s="12">
        <v>2</v>
      </c>
      <c r="D48" s="12">
        <v>1</v>
      </c>
      <c r="E48" s="12">
        <v>2</v>
      </c>
      <c r="F48" s="12">
        <v>2</v>
      </c>
      <c r="G48" s="12">
        <v>1</v>
      </c>
      <c r="H48" s="12">
        <v>14</v>
      </c>
      <c r="I48" s="12">
        <v>6</v>
      </c>
      <c r="J48" s="12">
        <f t="shared" si="2"/>
        <v>31</v>
      </c>
      <c r="K48" s="13">
        <v>250</v>
      </c>
      <c r="L48" s="5">
        <f t="shared" si="3"/>
        <v>14.571825</v>
      </c>
      <c r="M48" s="5">
        <f t="shared" si="4"/>
        <v>451.72657500000003</v>
      </c>
      <c r="N48" s="5">
        <f>Tabelle1[[#This Row],[Kosten Gesamt]]/$J$3</f>
        <v>0.74665549586776858</v>
      </c>
      <c r="O48" s="5">
        <f>Tabelle1[[#This Row],[Kosten Gesamt]]/8</f>
        <v>56.465821875000003</v>
      </c>
      <c r="P48" s="5">
        <f t="shared" si="5"/>
        <v>10.491714</v>
      </c>
      <c r="Q48" s="5">
        <f t="shared" si="6"/>
        <v>6.9944759999999997</v>
      </c>
      <c r="R48" s="5">
        <f t="shared" si="6"/>
        <v>3.4972379999999998</v>
      </c>
      <c r="S48" s="5">
        <f t="shared" si="6"/>
        <v>6.9944759999999997</v>
      </c>
      <c r="T48" s="5">
        <f t="shared" si="6"/>
        <v>6.9944759999999997</v>
      </c>
      <c r="U48" s="5">
        <f t="shared" si="6"/>
        <v>3.4972379999999998</v>
      </c>
      <c r="V48" s="5">
        <f>Tabelle1[[#This Row],[Kosten KH 6]]/$G$3</f>
        <v>2.5527284671532844E-2</v>
      </c>
      <c r="W48" s="5">
        <f>H48*$L$5</f>
        <v>48.961331999999999</v>
      </c>
      <c r="X48" s="5">
        <f t="shared" si="17"/>
        <v>20.983428</v>
      </c>
      <c r="Y48" s="11">
        <f t="shared" si="7"/>
        <v>6.9767441860465115E-2</v>
      </c>
      <c r="Z48" s="11">
        <f t="shared" si="8"/>
        <v>0.36159039759939982</v>
      </c>
      <c r="AA48" s="11">
        <f t="shared" si="9"/>
        <v>3.8461538461538464E-2</v>
      </c>
      <c r="AB48" s="11">
        <f t="shared" si="10"/>
        <v>-0.96573014614251718</v>
      </c>
      <c r="AC48" s="11">
        <f>D48/D$3</f>
        <v>1.2658227848101266E-2</v>
      </c>
      <c r="AD48" s="11">
        <f t="shared" si="11"/>
        <v>-0.98872131392032203</v>
      </c>
      <c r="AE48" s="11">
        <f>E48/E$3</f>
        <v>3.3898305084745763E-2</v>
      </c>
      <c r="AF48" s="11">
        <f t="shared" si="12"/>
        <v>-0.96979606100696447</v>
      </c>
      <c r="AG48" s="11">
        <f>F48/F$3</f>
        <v>6.25E-2</v>
      </c>
      <c r="AH48" s="11">
        <f t="shared" si="13"/>
        <v>-0.94431148748159055</v>
      </c>
      <c r="AI48" s="11">
        <f>G48/G$3</f>
        <v>7.2992700729927005E-3</v>
      </c>
      <c r="AJ48" s="16">
        <f t="shared" si="14"/>
        <v>-0.99349623211463822</v>
      </c>
      <c r="AK48" s="11">
        <f>H48/H$3</f>
        <v>0.12173913043478261</v>
      </c>
      <c r="AL48" s="11">
        <f t="shared" si="15"/>
        <v>-0.89152846257283735</v>
      </c>
      <c r="AM48" s="11">
        <f t="shared" si="18"/>
        <v>6.8181818181818177E-2</v>
      </c>
      <c r="AN48" s="11">
        <f t="shared" si="16"/>
        <v>-0.93924889543446255</v>
      </c>
      <c r="AO48" s="11">
        <f>SUM(B48:I48)/SUM($B$3:$I$3)</f>
        <v>5.1239669421487603E-2</v>
      </c>
    </row>
    <row r="49" spans="1:41">
      <c r="A49" s="12" t="s">
        <v>87</v>
      </c>
      <c r="B49" s="12">
        <v>3</v>
      </c>
      <c r="C49" s="12">
        <v>2</v>
      </c>
      <c r="D49" s="12">
        <v>1</v>
      </c>
      <c r="E49" s="12">
        <v>2</v>
      </c>
      <c r="F49" s="12">
        <v>2</v>
      </c>
      <c r="G49" s="12">
        <v>3</v>
      </c>
      <c r="H49" s="12">
        <v>14</v>
      </c>
      <c r="I49" s="12">
        <v>6</v>
      </c>
      <c r="J49" s="12">
        <f t="shared" si="2"/>
        <v>33</v>
      </c>
      <c r="K49" s="13">
        <v>250</v>
      </c>
      <c r="L49" s="5">
        <f t="shared" si="3"/>
        <v>14.571825</v>
      </c>
      <c r="M49" s="5">
        <f t="shared" si="4"/>
        <v>480.870225</v>
      </c>
      <c r="N49" s="5">
        <f>Tabelle1[[#This Row],[Kosten Gesamt]]/$J$3</f>
        <v>0.79482681818181822</v>
      </c>
      <c r="O49" s="5">
        <f>Tabelle1[[#This Row],[Kosten Gesamt]]/8</f>
        <v>60.108778125000001</v>
      </c>
      <c r="P49" s="5">
        <f t="shared" si="5"/>
        <v>10.491714</v>
      </c>
      <c r="Q49" s="5">
        <f t="shared" si="6"/>
        <v>6.9944759999999997</v>
      </c>
      <c r="R49" s="5">
        <f t="shared" si="6"/>
        <v>3.4972379999999998</v>
      </c>
      <c r="S49" s="5">
        <f t="shared" si="6"/>
        <v>6.9944759999999997</v>
      </c>
      <c r="T49" s="5">
        <f t="shared" si="6"/>
        <v>6.9944759999999997</v>
      </c>
      <c r="U49" s="5">
        <f t="shared" si="6"/>
        <v>10.491714</v>
      </c>
      <c r="V49" s="5">
        <f>Tabelle1[[#This Row],[Kosten KH 6]]/$G$3</f>
        <v>7.6581854014598535E-2</v>
      </c>
      <c r="W49" s="5">
        <f>H49*$L$5</f>
        <v>48.961331999999999</v>
      </c>
      <c r="X49" s="5">
        <f t="shared" si="17"/>
        <v>20.983428</v>
      </c>
      <c r="Y49" s="11">
        <f t="shared" si="7"/>
        <v>6.9767441860465115E-2</v>
      </c>
      <c r="Z49" s="11">
        <f t="shared" si="8"/>
        <v>0.27906976744186052</v>
      </c>
      <c r="AA49" s="11">
        <f t="shared" si="9"/>
        <v>3.8461538461538464E-2</v>
      </c>
      <c r="AB49" s="11">
        <f t="shared" si="10"/>
        <v>-0.96573014614251718</v>
      </c>
      <c r="AC49" s="11">
        <f>D49/D$3</f>
        <v>1.2658227848101266E-2</v>
      </c>
      <c r="AD49" s="11">
        <f t="shared" si="11"/>
        <v>-0.98872131392032203</v>
      </c>
      <c r="AE49" s="11">
        <f>E49/E$3</f>
        <v>3.3898305084745763E-2</v>
      </c>
      <c r="AF49" s="11">
        <f t="shared" si="12"/>
        <v>-0.96979606100696447</v>
      </c>
      <c r="AG49" s="11">
        <f>F49/F$3</f>
        <v>6.25E-2</v>
      </c>
      <c r="AH49" s="11">
        <f t="shared" si="13"/>
        <v>-0.94431148748159055</v>
      </c>
      <c r="AI49" s="11">
        <f>G49/G$3</f>
        <v>2.1897810218978103E-2</v>
      </c>
      <c r="AJ49" s="16">
        <f t="shared" si="14"/>
        <v>-0.98048869634391489</v>
      </c>
      <c r="AK49" s="11">
        <f>H49/H$3</f>
        <v>0.12173913043478261</v>
      </c>
      <c r="AL49" s="11">
        <f t="shared" si="15"/>
        <v>-0.89152846257283735</v>
      </c>
      <c r="AM49" s="11">
        <f t="shared" si="18"/>
        <v>6.8181818181818177E-2</v>
      </c>
      <c r="AN49" s="11">
        <f t="shared" si="16"/>
        <v>-0.93924889543446255</v>
      </c>
      <c r="AO49" s="11">
        <f>SUM(B49:I49)/SUM($B$3:$I$3)</f>
        <v>5.4545454545454543E-2</v>
      </c>
    </row>
    <row r="50" spans="1:41">
      <c r="A50" s="12" t="s">
        <v>88</v>
      </c>
      <c r="B50" s="12">
        <v>40</v>
      </c>
      <c r="C50" s="12">
        <v>50</v>
      </c>
      <c r="D50" s="12">
        <v>81</v>
      </c>
      <c r="E50" s="12">
        <v>2</v>
      </c>
      <c r="F50" s="12">
        <v>28</v>
      </c>
      <c r="G50" s="12">
        <v>4</v>
      </c>
      <c r="H50" s="12">
        <v>50</v>
      </c>
      <c r="I50" s="12">
        <v>8</v>
      </c>
      <c r="J50" s="12">
        <f t="shared" si="2"/>
        <v>263</v>
      </c>
      <c r="K50" s="13">
        <v>250</v>
      </c>
      <c r="L50" s="5">
        <f t="shared" si="3"/>
        <v>14.571825</v>
      </c>
      <c r="M50" s="5">
        <f t="shared" si="4"/>
        <v>3832.389975</v>
      </c>
      <c r="N50" s="5">
        <f>Tabelle1[[#This Row],[Kosten Gesamt]]/$J$3</f>
        <v>6.3345288842975211</v>
      </c>
      <c r="O50" s="5">
        <f>Tabelle1[[#This Row],[Kosten Gesamt]]/8</f>
        <v>479.04874687500001</v>
      </c>
      <c r="P50" s="5">
        <f t="shared" si="5"/>
        <v>139.88952</v>
      </c>
      <c r="Q50" s="5">
        <f t="shared" si="6"/>
        <v>174.86189999999999</v>
      </c>
      <c r="R50" s="5">
        <f t="shared" si="6"/>
        <v>283.27627799999999</v>
      </c>
      <c r="S50" s="5">
        <f t="shared" si="6"/>
        <v>6.9944759999999997</v>
      </c>
      <c r="T50" s="5">
        <f t="shared" si="6"/>
        <v>97.922663999999997</v>
      </c>
      <c r="U50" s="5">
        <f t="shared" si="6"/>
        <v>13.988951999999999</v>
      </c>
      <c r="V50" s="5">
        <f>Tabelle1[[#This Row],[Kosten KH 6]]/$G$3</f>
        <v>0.10210913868613138</v>
      </c>
      <c r="W50" s="5">
        <f>H50*$L$5</f>
        <v>174.86189999999999</v>
      </c>
      <c r="X50" s="5">
        <f t="shared" si="17"/>
        <v>27.977903999999999</v>
      </c>
      <c r="Y50" s="11">
        <f t="shared" si="7"/>
        <v>0.93023255813953487</v>
      </c>
      <c r="Z50" s="11">
        <f t="shared" si="8"/>
        <v>1.1398885843133788</v>
      </c>
      <c r="AA50" s="11">
        <f t="shared" si="9"/>
        <v>0.96153846153846156</v>
      </c>
      <c r="AB50" s="11">
        <f t="shared" si="10"/>
        <v>-0.14325365356293196</v>
      </c>
      <c r="AC50" s="11">
        <f>D50/D$3</f>
        <v>1.0253164556962024</v>
      </c>
      <c r="AD50" s="11">
        <f t="shared" si="11"/>
        <v>-8.6426427546093615E-2</v>
      </c>
      <c r="AE50" s="11">
        <f>E50/E$3</f>
        <v>3.3898305084745763E-2</v>
      </c>
      <c r="AF50" s="11">
        <f t="shared" si="12"/>
        <v>-0.96979606100696447</v>
      </c>
      <c r="AG50" s="11">
        <f>F50/F$3</f>
        <v>0.875</v>
      </c>
      <c r="AH50" s="11">
        <f t="shared" si="13"/>
        <v>-0.22036082474226809</v>
      </c>
      <c r="AI50" s="11">
        <f>G50/G$3</f>
        <v>2.9197080291970802E-2</v>
      </c>
      <c r="AJ50" s="16">
        <f t="shared" si="14"/>
        <v>-0.97398492845855333</v>
      </c>
      <c r="AK50" s="11">
        <f>H50/H$3</f>
        <v>0.43478260869565216</v>
      </c>
      <c r="AL50" s="11">
        <f t="shared" si="15"/>
        <v>-0.6126016520458476</v>
      </c>
      <c r="AM50" s="11">
        <f t="shared" si="18"/>
        <v>9.0909090909090912E-2</v>
      </c>
      <c r="AN50" s="11">
        <f t="shared" si="16"/>
        <v>-0.91899852724594999</v>
      </c>
      <c r="AO50" s="11">
        <f>SUM(B50:I50)/SUM($B$3:$I$3)</f>
        <v>0.43471074380165287</v>
      </c>
    </row>
    <row r="51" spans="1:41">
      <c r="A51" s="12" t="s">
        <v>89</v>
      </c>
      <c r="B51" s="12">
        <v>1</v>
      </c>
      <c r="C51" s="12">
        <v>0</v>
      </c>
      <c r="D51" s="12">
        <v>3</v>
      </c>
      <c r="E51" s="12">
        <v>0</v>
      </c>
      <c r="F51" s="12">
        <v>0</v>
      </c>
      <c r="G51" s="12">
        <v>0</v>
      </c>
      <c r="H51" s="12">
        <v>6</v>
      </c>
      <c r="I51" s="12">
        <v>0</v>
      </c>
      <c r="J51" s="12">
        <f t="shared" si="2"/>
        <v>10</v>
      </c>
      <c r="K51" s="13">
        <v>250</v>
      </c>
      <c r="L51" s="5">
        <f t="shared" si="3"/>
        <v>14.571825</v>
      </c>
      <c r="M51" s="5">
        <f t="shared" si="4"/>
        <v>145.71825000000001</v>
      </c>
      <c r="N51" s="5">
        <f>Tabelle1[[#This Row],[Kosten Gesamt]]/$J$3</f>
        <v>0.24085661157024796</v>
      </c>
      <c r="O51" s="5">
        <f>Tabelle1[[#This Row],[Kosten Gesamt]]/8</f>
        <v>18.214781250000001</v>
      </c>
      <c r="P51" s="5">
        <f t="shared" si="5"/>
        <v>3.4972379999999998</v>
      </c>
      <c r="Q51" s="5">
        <f t="shared" si="6"/>
        <v>0</v>
      </c>
      <c r="R51" s="5">
        <f t="shared" si="6"/>
        <v>10.491714</v>
      </c>
      <c r="S51" s="5">
        <f t="shared" si="6"/>
        <v>0</v>
      </c>
      <c r="T51" s="5">
        <f t="shared" si="6"/>
        <v>0</v>
      </c>
      <c r="U51" s="5">
        <f t="shared" si="6"/>
        <v>0</v>
      </c>
      <c r="V51" s="5">
        <f>Tabelle1[[#This Row],[Kosten KH 6]]/$G$3</f>
        <v>0</v>
      </c>
      <c r="W51" s="5">
        <f>H51*$L$5</f>
        <v>20.983428</v>
      </c>
      <c r="X51" s="5">
        <f t="shared" si="17"/>
        <v>0</v>
      </c>
      <c r="Y51" s="11">
        <f t="shared" si="7"/>
        <v>2.3255813953488372E-2</v>
      </c>
      <c r="Z51" s="11">
        <f t="shared" si="8"/>
        <v>0.40697674418604646</v>
      </c>
      <c r="AA51" s="11">
        <f t="shared" si="9"/>
        <v>0</v>
      </c>
      <c r="AB51" s="11">
        <f t="shared" si="10"/>
        <v>-1</v>
      </c>
      <c r="AC51" s="11">
        <f>D51/D$3</f>
        <v>3.7974683544303799E-2</v>
      </c>
      <c r="AD51" s="11">
        <f t="shared" si="11"/>
        <v>-0.96616394176096643</v>
      </c>
      <c r="AE51" s="11">
        <f>E51/E$3</f>
        <v>0</v>
      </c>
      <c r="AF51" s="11">
        <f t="shared" si="12"/>
        <v>-1</v>
      </c>
      <c r="AG51" s="11">
        <f>F51/F$3</f>
        <v>0</v>
      </c>
      <c r="AH51" s="11">
        <f t="shared" si="13"/>
        <v>-1</v>
      </c>
      <c r="AI51" s="11">
        <f>G51/G$3</f>
        <v>0</v>
      </c>
      <c r="AJ51" s="16">
        <f t="shared" si="14"/>
        <v>-1</v>
      </c>
      <c r="AK51" s="11">
        <f>H51/H$3</f>
        <v>5.2173913043478258E-2</v>
      </c>
      <c r="AL51" s="11">
        <f t="shared" si="15"/>
        <v>-0.95351219824550182</v>
      </c>
      <c r="AM51" s="11">
        <f t="shared" si="18"/>
        <v>0</v>
      </c>
      <c r="AN51" s="11">
        <f t="shared" si="16"/>
        <v>-1</v>
      </c>
      <c r="AO51" s="11">
        <f>SUM(B51:I51)/SUM($B$3:$I$3)</f>
        <v>1.6528925619834711E-2</v>
      </c>
    </row>
    <row r="52" spans="1:41">
      <c r="A52" s="12" t="s">
        <v>90</v>
      </c>
      <c r="B52" s="12">
        <v>0</v>
      </c>
      <c r="C52" s="12">
        <v>47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1</v>
      </c>
      <c r="J52" s="12">
        <f t="shared" si="2"/>
        <v>48</v>
      </c>
      <c r="K52" s="13">
        <v>290</v>
      </c>
      <c r="L52" s="5">
        <f t="shared" si="3"/>
        <v>16.903317000000001</v>
      </c>
      <c r="M52" s="5">
        <f t="shared" si="4"/>
        <v>811.35921600000006</v>
      </c>
      <c r="N52" s="5">
        <f>Tabelle1[[#This Row],[Kosten Gesamt]]/$J$3</f>
        <v>1.3410896132231407</v>
      </c>
      <c r="O52" s="5">
        <f>Tabelle1[[#This Row],[Kosten Gesamt]]/8</f>
        <v>101.41990200000001</v>
      </c>
      <c r="P52" s="5">
        <f t="shared" si="5"/>
        <v>0</v>
      </c>
      <c r="Q52" s="5">
        <f t="shared" si="6"/>
        <v>164.37018599999999</v>
      </c>
      <c r="R52" s="5">
        <f t="shared" si="6"/>
        <v>0</v>
      </c>
      <c r="S52" s="5">
        <f t="shared" si="6"/>
        <v>0</v>
      </c>
      <c r="T52" s="5">
        <f t="shared" si="6"/>
        <v>0</v>
      </c>
      <c r="U52" s="5">
        <f t="shared" si="6"/>
        <v>0</v>
      </c>
      <c r="V52" s="5">
        <f>Tabelle1[[#This Row],[Kosten KH 6]]/$G$3</f>
        <v>0</v>
      </c>
      <c r="W52" s="5">
        <f>H52*$L$5</f>
        <v>0</v>
      </c>
      <c r="X52" s="5">
        <f t="shared" si="17"/>
        <v>3.4972379999999998</v>
      </c>
      <c r="Y52" s="11">
        <f t="shared" si="7"/>
        <v>0</v>
      </c>
      <c r="Z52" s="11">
        <f t="shared" si="8"/>
        <v>-1</v>
      </c>
      <c r="AA52" s="11">
        <f t="shared" si="9"/>
        <v>0.90384615384615385</v>
      </c>
      <c r="AB52" s="11">
        <f t="shared" si="10"/>
        <v>-0.19465843434915606</v>
      </c>
      <c r="AC52" s="11">
        <f>D52/D$3</f>
        <v>0</v>
      </c>
      <c r="AD52" s="11">
        <f t="shared" si="11"/>
        <v>-1</v>
      </c>
      <c r="AE52" s="11">
        <f>E52/E$3</f>
        <v>0</v>
      </c>
      <c r="AF52" s="11">
        <f t="shared" si="12"/>
        <v>-1</v>
      </c>
      <c r="AG52" s="11">
        <f>F52/F$3</f>
        <v>0</v>
      </c>
      <c r="AH52" s="11">
        <f t="shared" si="13"/>
        <v>-1</v>
      </c>
      <c r="AI52" s="11">
        <f>G52/G$3</f>
        <v>0</v>
      </c>
      <c r="AJ52" s="16">
        <f t="shared" si="14"/>
        <v>-1</v>
      </c>
      <c r="AK52" s="11">
        <f>H52/H$3</f>
        <v>0</v>
      </c>
      <c r="AL52" s="11">
        <f t="shared" si="15"/>
        <v>-1</v>
      </c>
      <c r="AM52" s="11">
        <f t="shared" si="18"/>
        <v>1.1363636363636364E-2</v>
      </c>
      <c r="AN52" s="11">
        <f t="shared" si="16"/>
        <v>-0.98987481590574367</v>
      </c>
      <c r="AO52" s="11">
        <f>SUM(B52:I52)/SUM($B$3:$I$3)</f>
        <v>7.9338842975206617E-2</v>
      </c>
    </row>
    <row r="53" spans="1:41">
      <c r="A53" s="12" t="s">
        <v>91</v>
      </c>
      <c r="B53" s="12">
        <v>14</v>
      </c>
      <c r="C53" s="12">
        <v>0</v>
      </c>
      <c r="D53" s="12">
        <v>2</v>
      </c>
      <c r="E53" s="12">
        <v>25</v>
      </c>
      <c r="F53" s="12">
        <v>0</v>
      </c>
      <c r="G53" s="12">
        <v>33</v>
      </c>
      <c r="H53" s="12">
        <v>2</v>
      </c>
      <c r="I53" s="12">
        <v>0</v>
      </c>
      <c r="J53" s="12">
        <f t="shared" si="2"/>
        <v>76</v>
      </c>
      <c r="K53" s="13">
        <v>100</v>
      </c>
      <c r="L53" s="5">
        <f t="shared" si="3"/>
        <v>5.8287300000000002</v>
      </c>
      <c r="M53" s="5">
        <f t="shared" si="4"/>
        <v>442.98347999999999</v>
      </c>
      <c r="N53" s="5">
        <f>Tabelle1[[#This Row],[Kosten Gesamt]]/$J$3</f>
        <v>0.73220409917355367</v>
      </c>
      <c r="O53" s="5">
        <f>Tabelle1[[#This Row],[Kosten Gesamt]]/8</f>
        <v>55.372934999999998</v>
      </c>
      <c r="P53" s="5">
        <f t="shared" si="5"/>
        <v>48.961331999999999</v>
      </c>
      <c r="Q53" s="5">
        <f t="shared" si="6"/>
        <v>0</v>
      </c>
      <c r="R53" s="5">
        <f t="shared" si="6"/>
        <v>6.9944759999999997</v>
      </c>
      <c r="S53" s="5">
        <f t="shared" si="6"/>
        <v>87.430949999999996</v>
      </c>
      <c r="T53" s="5">
        <f t="shared" si="6"/>
        <v>0</v>
      </c>
      <c r="U53" s="5">
        <f t="shared" si="6"/>
        <v>115.40885399999999</v>
      </c>
      <c r="V53" s="5">
        <f>Tabelle1[[#This Row],[Kosten KH 6]]/$G$3</f>
        <v>0.84240039416058388</v>
      </c>
      <c r="W53" s="5">
        <f>H53*$L$5</f>
        <v>6.9944759999999997</v>
      </c>
      <c r="X53" s="5">
        <f t="shared" si="17"/>
        <v>0</v>
      </c>
      <c r="Y53" s="11">
        <f t="shared" si="7"/>
        <v>0.32558139534883723</v>
      </c>
      <c r="Z53" s="11">
        <f t="shared" si="8"/>
        <v>1.5917992656058753</v>
      </c>
      <c r="AA53" s="11">
        <f t="shared" si="9"/>
        <v>0</v>
      </c>
      <c r="AB53" s="11">
        <f t="shared" si="10"/>
        <v>-1</v>
      </c>
      <c r="AC53" s="11">
        <f>D53/D$3</f>
        <v>2.5316455696202531E-2</v>
      </c>
      <c r="AD53" s="11">
        <f t="shared" si="11"/>
        <v>-0.9774426278406444</v>
      </c>
      <c r="AE53" s="11">
        <f>E53/E$3</f>
        <v>0.42372881355932202</v>
      </c>
      <c r="AF53" s="11">
        <f t="shared" si="12"/>
        <v>-0.62245076258705478</v>
      </c>
      <c r="AG53" s="11">
        <f>F53/F$3</f>
        <v>0</v>
      </c>
      <c r="AH53" s="11">
        <f t="shared" si="13"/>
        <v>-1</v>
      </c>
      <c r="AI53" s="11">
        <f>G53/G$3</f>
        <v>0.24087591240875914</v>
      </c>
      <c r="AJ53" s="16">
        <f t="shared" si="14"/>
        <v>-0.78537565978306434</v>
      </c>
      <c r="AK53" s="11">
        <f>H53/H$3</f>
        <v>1.7391304347826087E-2</v>
      </c>
      <c r="AL53" s="11">
        <f t="shared" si="15"/>
        <v>-0.98450406608183394</v>
      </c>
      <c r="AM53" s="11">
        <f t="shared" si="18"/>
        <v>0</v>
      </c>
      <c r="AN53" s="11">
        <f t="shared" si="16"/>
        <v>-1</v>
      </c>
      <c r="AO53" s="11">
        <f>SUM(B53:I53)/SUM($B$3:$I$3)</f>
        <v>0.12561983471074381</v>
      </c>
    </row>
    <row r="54" spans="1:41">
      <c r="A54" s="12" t="s">
        <v>92</v>
      </c>
      <c r="B54" s="12">
        <v>14</v>
      </c>
      <c r="C54" s="12">
        <v>0</v>
      </c>
      <c r="D54" s="12">
        <v>2</v>
      </c>
      <c r="E54" s="12">
        <v>24</v>
      </c>
      <c r="F54" s="12">
        <v>0</v>
      </c>
      <c r="G54" s="12">
        <v>32</v>
      </c>
      <c r="H54" s="12">
        <v>2</v>
      </c>
      <c r="I54" s="12">
        <v>0</v>
      </c>
      <c r="J54" s="12">
        <f t="shared" si="2"/>
        <v>74</v>
      </c>
      <c r="K54" s="13">
        <v>120</v>
      </c>
      <c r="L54" s="5">
        <f t="shared" si="3"/>
        <v>6.9944759999999997</v>
      </c>
      <c r="M54" s="5">
        <f t="shared" si="4"/>
        <v>517.59122400000001</v>
      </c>
      <c r="N54" s="5">
        <f>Tabelle1[[#This Row],[Kosten Gesamt]]/$J$3</f>
        <v>0.85552268429752065</v>
      </c>
      <c r="O54" s="5">
        <f>Tabelle1[[#This Row],[Kosten Gesamt]]/8</f>
        <v>64.698903000000001</v>
      </c>
      <c r="P54" s="5">
        <f t="shared" si="5"/>
        <v>48.961331999999999</v>
      </c>
      <c r="Q54" s="5">
        <f t="shared" si="6"/>
        <v>0</v>
      </c>
      <c r="R54" s="5">
        <f t="shared" si="6"/>
        <v>6.9944759999999997</v>
      </c>
      <c r="S54" s="5">
        <f t="shared" si="6"/>
        <v>83.933712</v>
      </c>
      <c r="T54" s="5">
        <f t="shared" si="6"/>
        <v>0</v>
      </c>
      <c r="U54" s="5">
        <f t="shared" si="6"/>
        <v>111.911616</v>
      </c>
      <c r="V54" s="5">
        <f>Tabelle1[[#This Row],[Kosten KH 6]]/$G$3</f>
        <v>0.81687310948905101</v>
      </c>
      <c r="W54" s="5">
        <f>H54*$L$5</f>
        <v>6.9944759999999997</v>
      </c>
      <c r="X54" s="5">
        <f t="shared" si="17"/>
        <v>0</v>
      </c>
      <c r="Y54" s="11">
        <f t="shared" si="7"/>
        <v>0.32558139534883723</v>
      </c>
      <c r="Z54" s="11">
        <f t="shared" si="8"/>
        <v>1.6618478944060342</v>
      </c>
      <c r="AA54" s="11">
        <f t="shared" si="9"/>
        <v>0</v>
      </c>
      <c r="AB54" s="11">
        <f t="shared" si="10"/>
        <v>-1</v>
      </c>
      <c r="AC54" s="11">
        <f>D54/D$3</f>
        <v>2.5316455696202531E-2</v>
      </c>
      <c r="AD54" s="11">
        <f t="shared" si="11"/>
        <v>-0.9774426278406444</v>
      </c>
      <c r="AE54" s="11">
        <f>E54/E$3</f>
        <v>0.40677966101694918</v>
      </c>
      <c r="AF54" s="11">
        <f t="shared" si="12"/>
        <v>-0.63755273208357255</v>
      </c>
      <c r="AG54" s="11">
        <f>F54/F$3</f>
        <v>0</v>
      </c>
      <c r="AH54" s="11">
        <f t="shared" si="13"/>
        <v>-1</v>
      </c>
      <c r="AI54" s="11">
        <f>G54/G$3</f>
        <v>0.23357664233576642</v>
      </c>
      <c r="AJ54" s="16">
        <f t="shared" si="14"/>
        <v>-0.79187942766842612</v>
      </c>
      <c r="AK54" s="11">
        <f>H54/H$3</f>
        <v>1.7391304347826087E-2</v>
      </c>
      <c r="AL54" s="11">
        <f t="shared" si="15"/>
        <v>-0.98450406608183394</v>
      </c>
      <c r="AM54" s="11">
        <f t="shared" si="18"/>
        <v>0</v>
      </c>
      <c r="AN54" s="11">
        <f t="shared" si="16"/>
        <v>-1</v>
      </c>
      <c r="AO54" s="11">
        <f>SUM(B54:I54)/SUM($B$3:$I$3)</f>
        <v>0.12231404958677686</v>
      </c>
    </row>
    <row r="55" spans="1:41">
      <c r="A55" s="12" t="s">
        <v>93</v>
      </c>
      <c r="B55" s="12">
        <v>7</v>
      </c>
      <c r="C55" s="12">
        <v>0</v>
      </c>
      <c r="D55" s="12">
        <v>1</v>
      </c>
      <c r="E55" s="12">
        <v>10</v>
      </c>
      <c r="F55" s="12">
        <v>0</v>
      </c>
      <c r="G55" s="12">
        <v>14</v>
      </c>
      <c r="H55" s="12">
        <v>1</v>
      </c>
      <c r="I55" s="12">
        <v>0</v>
      </c>
      <c r="J55" s="12">
        <f t="shared" si="2"/>
        <v>33</v>
      </c>
      <c r="K55" s="13">
        <v>80</v>
      </c>
      <c r="L55" s="5">
        <f t="shared" si="3"/>
        <v>4.6629839999999998</v>
      </c>
      <c r="M55" s="5">
        <f t="shared" si="4"/>
        <v>153.87847199999999</v>
      </c>
      <c r="N55" s="5">
        <f>Tabelle1[[#This Row],[Kosten Gesamt]]/$J$3</f>
        <v>0.25434458181818181</v>
      </c>
      <c r="O55" s="5">
        <f>Tabelle1[[#This Row],[Kosten Gesamt]]/8</f>
        <v>19.234808999999998</v>
      </c>
      <c r="P55" s="5">
        <f t="shared" si="5"/>
        <v>24.480665999999999</v>
      </c>
      <c r="Q55" s="5">
        <f t="shared" si="6"/>
        <v>0</v>
      </c>
      <c r="R55" s="5">
        <f t="shared" si="6"/>
        <v>3.4972379999999998</v>
      </c>
      <c r="S55" s="5">
        <f t="shared" si="6"/>
        <v>34.972380000000001</v>
      </c>
      <c r="T55" s="5">
        <f t="shared" si="6"/>
        <v>0</v>
      </c>
      <c r="U55" s="5">
        <f t="shared" si="6"/>
        <v>48.961331999999999</v>
      </c>
      <c r="V55" s="5">
        <f>Tabelle1[[#This Row],[Kosten KH 6]]/$G$3</f>
        <v>0.35738198540145982</v>
      </c>
      <c r="W55" s="5">
        <f>H55*$L$5</f>
        <v>3.4972379999999998</v>
      </c>
      <c r="X55" s="5">
        <f t="shared" si="17"/>
        <v>0</v>
      </c>
      <c r="Y55" s="11">
        <f t="shared" si="7"/>
        <v>0.16279069767441862</v>
      </c>
      <c r="Z55" s="11">
        <f t="shared" si="8"/>
        <v>1.9844961240310082</v>
      </c>
      <c r="AA55" s="11">
        <f t="shared" si="9"/>
        <v>0</v>
      </c>
      <c r="AB55" s="11">
        <f t="shared" si="10"/>
        <v>-1</v>
      </c>
      <c r="AC55" s="11">
        <f>D55/D$3</f>
        <v>1.2658227848101266E-2</v>
      </c>
      <c r="AD55" s="11">
        <f t="shared" si="11"/>
        <v>-0.98872131392032203</v>
      </c>
      <c r="AE55" s="11">
        <f>E55/E$3</f>
        <v>0.16949152542372881</v>
      </c>
      <c r="AF55" s="11">
        <f t="shared" si="12"/>
        <v>-0.84898030503482191</v>
      </c>
      <c r="AG55" s="11">
        <f>F55/F$3</f>
        <v>0</v>
      </c>
      <c r="AH55" s="11">
        <f t="shared" si="13"/>
        <v>-1</v>
      </c>
      <c r="AI55" s="11">
        <f>G55/G$3</f>
        <v>0.10218978102189781</v>
      </c>
      <c r="AJ55" s="16">
        <f t="shared" si="14"/>
        <v>-0.90894724960493634</v>
      </c>
      <c r="AK55" s="11">
        <f>H55/H$3</f>
        <v>8.6956521739130436E-3</v>
      </c>
      <c r="AL55" s="11">
        <f t="shared" si="15"/>
        <v>-0.99225203304091703</v>
      </c>
      <c r="AM55" s="11">
        <f t="shared" si="18"/>
        <v>0</v>
      </c>
      <c r="AN55" s="11">
        <f t="shared" si="16"/>
        <v>-1</v>
      </c>
      <c r="AO55" s="11">
        <f>SUM(B55:I55)/SUM($B$3:$I$3)</f>
        <v>5.4545454545454543E-2</v>
      </c>
    </row>
    <row r="56" spans="1:41">
      <c r="A56" s="12" t="s">
        <v>94</v>
      </c>
      <c r="B56" s="12">
        <v>12</v>
      </c>
      <c r="C56" s="12">
        <v>0</v>
      </c>
      <c r="D56" s="12">
        <v>1</v>
      </c>
      <c r="E56" s="12">
        <v>20</v>
      </c>
      <c r="F56" s="12">
        <v>0</v>
      </c>
      <c r="G56" s="12">
        <v>24</v>
      </c>
      <c r="H56" s="12">
        <v>0</v>
      </c>
      <c r="I56" s="12">
        <v>0</v>
      </c>
      <c r="J56" s="12">
        <f t="shared" si="2"/>
        <v>57</v>
      </c>
      <c r="K56" s="13">
        <v>100</v>
      </c>
      <c r="L56" s="5">
        <f t="shared" si="3"/>
        <v>5.8287300000000002</v>
      </c>
      <c r="M56" s="5">
        <f t="shared" si="4"/>
        <v>332.23761000000002</v>
      </c>
      <c r="N56" s="5">
        <f>Tabelle1[[#This Row],[Kosten Gesamt]]/$J$3</f>
        <v>0.54915307438016536</v>
      </c>
      <c r="O56" s="5">
        <f>Tabelle1[[#This Row],[Kosten Gesamt]]/8</f>
        <v>41.529701250000002</v>
      </c>
      <c r="P56" s="5">
        <f t="shared" si="5"/>
        <v>41.966856</v>
      </c>
      <c r="Q56" s="5">
        <f t="shared" si="6"/>
        <v>0</v>
      </c>
      <c r="R56" s="5">
        <f t="shared" si="6"/>
        <v>3.4972379999999998</v>
      </c>
      <c r="S56" s="5">
        <f t="shared" si="6"/>
        <v>69.944760000000002</v>
      </c>
      <c r="T56" s="5">
        <f t="shared" si="6"/>
        <v>0</v>
      </c>
      <c r="U56" s="5">
        <f t="shared" si="6"/>
        <v>83.933712</v>
      </c>
      <c r="V56" s="5">
        <f>Tabelle1[[#This Row],[Kosten KH 6]]/$G$3</f>
        <v>0.61265483211678828</v>
      </c>
      <c r="W56" s="5">
        <f>H56*$L$5</f>
        <v>0</v>
      </c>
      <c r="X56" s="5">
        <f t="shared" si="17"/>
        <v>0</v>
      </c>
      <c r="Y56" s="11">
        <f t="shared" si="7"/>
        <v>0.27906976744186046</v>
      </c>
      <c r="Z56" s="11">
        <f t="shared" si="8"/>
        <v>1.9620563035495717</v>
      </c>
      <c r="AA56" s="11">
        <f t="shared" si="9"/>
        <v>0</v>
      </c>
      <c r="AB56" s="11">
        <f t="shared" si="10"/>
        <v>-1</v>
      </c>
      <c r="AC56" s="11">
        <f>D56/D$3</f>
        <v>1.2658227848101266E-2</v>
      </c>
      <c r="AD56" s="11">
        <f t="shared" si="11"/>
        <v>-0.98872131392032203</v>
      </c>
      <c r="AE56" s="11">
        <f>E56/E$3</f>
        <v>0.33898305084745761</v>
      </c>
      <c r="AF56" s="11">
        <f t="shared" si="12"/>
        <v>-0.69796061006964383</v>
      </c>
      <c r="AG56" s="11">
        <f>F56/F$3</f>
        <v>0</v>
      </c>
      <c r="AH56" s="11">
        <f t="shared" si="13"/>
        <v>-1</v>
      </c>
      <c r="AI56" s="11">
        <f>G56/G$3</f>
        <v>0.17518248175182483</v>
      </c>
      <c r="AJ56" s="16">
        <f t="shared" si="14"/>
        <v>-0.84390957075131956</v>
      </c>
      <c r="AK56" s="11">
        <f>H56/H$3</f>
        <v>0</v>
      </c>
      <c r="AL56" s="11">
        <f t="shared" si="15"/>
        <v>-1</v>
      </c>
      <c r="AM56" s="11">
        <f t="shared" si="18"/>
        <v>0</v>
      </c>
      <c r="AN56" s="11">
        <f t="shared" si="16"/>
        <v>-1</v>
      </c>
      <c r="AO56" s="11">
        <f>SUM(B56:I56)/SUM($B$3:$I$3)</f>
        <v>9.4214876033057851E-2</v>
      </c>
    </row>
    <row r="57" spans="1:41">
      <c r="A57" s="12" t="s">
        <v>95</v>
      </c>
      <c r="B57" s="12">
        <v>13</v>
      </c>
      <c r="C57" s="12">
        <v>0</v>
      </c>
      <c r="D57" s="12">
        <v>1</v>
      </c>
      <c r="E57" s="12">
        <v>20</v>
      </c>
      <c r="F57" s="12">
        <v>0</v>
      </c>
      <c r="G57" s="12">
        <v>24</v>
      </c>
      <c r="H57" s="12">
        <v>2</v>
      </c>
      <c r="I57" s="12">
        <v>0</v>
      </c>
      <c r="J57" s="12">
        <f t="shared" si="2"/>
        <v>60</v>
      </c>
      <c r="K57" s="13">
        <v>200</v>
      </c>
      <c r="L57" s="5">
        <f t="shared" si="3"/>
        <v>11.65746</v>
      </c>
      <c r="M57" s="5">
        <f t="shared" si="4"/>
        <v>699.44759999999997</v>
      </c>
      <c r="N57" s="5">
        <f>Tabelle1[[#This Row],[Kosten Gesamt]]/$J$3</f>
        <v>1.1561117355371899</v>
      </c>
      <c r="O57" s="5">
        <f>Tabelle1[[#This Row],[Kosten Gesamt]]/8</f>
        <v>87.430949999999996</v>
      </c>
      <c r="P57" s="5">
        <f t="shared" si="5"/>
        <v>45.464093999999996</v>
      </c>
      <c r="Q57" s="5">
        <f t="shared" si="6"/>
        <v>0</v>
      </c>
      <c r="R57" s="5">
        <f t="shared" si="6"/>
        <v>3.4972379999999998</v>
      </c>
      <c r="S57" s="5">
        <f t="shared" si="6"/>
        <v>69.944760000000002</v>
      </c>
      <c r="T57" s="5">
        <f t="shared" si="6"/>
        <v>0</v>
      </c>
      <c r="U57" s="5">
        <f t="shared" si="6"/>
        <v>83.933712</v>
      </c>
      <c r="V57" s="5">
        <f>Tabelle1[[#This Row],[Kosten KH 6]]/$G$3</f>
        <v>0.61265483211678828</v>
      </c>
      <c r="W57" s="5">
        <f>H57*$L$5</f>
        <v>6.9944759999999997</v>
      </c>
      <c r="X57" s="5">
        <f t="shared" si="17"/>
        <v>0</v>
      </c>
      <c r="Y57" s="11">
        <f t="shared" si="7"/>
        <v>0.30232558139534882</v>
      </c>
      <c r="Z57" s="11">
        <f t="shared" si="8"/>
        <v>2.0484496124031004</v>
      </c>
      <c r="AA57" s="11">
        <f t="shared" si="9"/>
        <v>0</v>
      </c>
      <c r="AB57" s="11">
        <f t="shared" si="10"/>
        <v>-1</v>
      </c>
      <c r="AC57" s="11">
        <f>D57/D$3</f>
        <v>1.2658227848101266E-2</v>
      </c>
      <c r="AD57" s="11">
        <f t="shared" si="11"/>
        <v>-0.98872131392032203</v>
      </c>
      <c r="AE57" s="11">
        <f>E57/E$3</f>
        <v>0.33898305084745761</v>
      </c>
      <c r="AF57" s="11">
        <f t="shared" si="12"/>
        <v>-0.69796061006964383</v>
      </c>
      <c r="AG57" s="11">
        <f>F57/F$3</f>
        <v>0</v>
      </c>
      <c r="AH57" s="11">
        <f t="shared" si="13"/>
        <v>-1</v>
      </c>
      <c r="AI57" s="11">
        <f>G57/G$3</f>
        <v>0.17518248175182483</v>
      </c>
      <c r="AJ57" s="16">
        <f t="shared" si="14"/>
        <v>-0.84390957075131956</v>
      </c>
      <c r="AK57" s="11">
        <f>H57/H$3</f>
        <v>1.7391304347826087E-2</v>
      </c>
      <c r="AL57" s="11">
        <f t="shared" si="15"/>
        <v>-0.98450406608183394</v>
      </c>
      <c r="AM57" s="11">
        <f t="shared" si="18"/>
        <v>0</v>
      </c>
      <c r="AN57" s="11">
        <f t="shared" si="16"/>
        <v>-1</v>
      </c>
      <c r="AO57" s="11">
        <f>SUM(B57:I57)/SUM($B$3:$I$3)</f>
        <v>9.9173553719008267E-2</v>
      </c>
    </row>
    <row r="58" spans="1:41">
      <c r="A58" s="12" t="s">
        <v>96</v>
      </c>
      <c r="B58" s="12">
        <v>7</v>
      </c>
      <c r="C58" s="12">
        <v>0</v>
      </c>
      <c r="D58" s="12">
        <v>2</v>
      </c>
      <c r="E58" s="12">
        <v>9</v>
      </c>
      <c r="F58" s="12">
        <v>0</v>
      </c>
      <c r="G58" s="12">
        <v>15</v>
      </c>
      <c r="H58" s="12">
        <v>0</v>
      </c>
      <c r="I58" s="12">
        <v>0</v>
      </c>
      <c r="J58" s="12">
        <f t="shared" si="2"/>
        <v>33</v>
      </c>
      <c r="K58" s="13">
        <v>200</v>
      </c>
      <c r="L58" s="5">
        <f t="shared" si="3"/>
        <v>11.65746</v>
      </c>
      <c r="M58" s="5">
        <f t="shared" si="4"/>
        <v>384.69618000000003</v>
      </c>
      <c r="N58" s="5">
        <f>Tabelle1[[#This Row],[Kosten Gesamt]]/$J$3</f>
        <v>0.63586145454545462</v>
      </c>
      <c r="O58" s="5">
        <f>Tabelle1[[#This Row],[Kosten Gesamt]]/8</f>
        <v>48.087022500000003</v>
      </c>
      <c r="P58" s="5">
        <f t="shared" si="5"/>
        <v>24.480665999999999</v>
      </c>
      <c r="Q58" s="5">
        <f t="shared" si="6"/>
        <v>0</v>
      </c>
      <c r="R58" s="5">
        <f t="shared" si="6"/>
        <v>6.9944759999999997</v>
      </c>
      <c r="S58" s="5">
        <f t="shared" si="6"/>
        <v>31.475141999999998</v>
      </c>
      <c r="T58" s="5">
        <f t="shared" si="6"/>
        <v>0</v>
      </c>
      <c r="U58" s="5">
        <f t="shared" si="6"/>
        <v>52.458569999999995</v>
      </c>
      <c r="V58" s="5">
        <f>Tabelle1[[#This Row],[Kosten KH 6]]/$G$3</f>
        <v>0.38290927007299264</v>
      </c>
      <c r="W58" s="5">
        <f>H58*$L$5</f>
        <v>0</v>
      </c>
      <c r="X58" s="5">
        <f t="shared" si="17"/>
        <v>0</v>
      </c>
      <c r="Y58" s="11">
        <f t="shared" si="7"/>
        <v>0.16279069767441862</v>
      </c>
      <c r="Z58" s="11">
        <f t="shared" si="8"/>
        <v>1.9844961240310082</v>
      </c>
      <c r="AA58" s="11">
        <f t="shared" si="9"/>
        <v>0</v>
      </c>
      <c r="AB58" s="11">
        <f t="shared" si="10"/>
        <v>-1</v>
      </c>
      <c r="AC58" s="11">
        <f>D58/D$3</f>
        <v>2.5316455696202531E-2</v>
      </c>
      <c r="AD58" s="11">
        <f t="shared" si="11"/>
        <v>-0.9774426278406444</v>
      </c>
      <c r="AE58" s="11">
        <f>E58/E$3</f>
        <v>0.15254237288135594</v>
      </c>
      <c r="AF58" s="11">
        <f t="shared" si="12"/>
        <v>-0.86408227453133968</v>
      </c>
      <c r="AG58" s="11">
        <f>F58/F$3</f>
        <v>0</v>
      </c>
      <c r="AH58" s="11">
        <f t="shared" si="13"/>
        <v>-1</v>
      </c>
      <c r="AI58" s="11">
        <f>G58/G$3</f>
        <v>0.10948905109489052</v>
      </c>
      <c r="AJ58" s="16">
        <f t="shared" si="14"/>
        <v>-0.90244348171957478</v>
      </c>
      <c r="AK58" s="11">
        <f>H58/H$3</f>
        <v>0</v>
      </c>
      <c r="AL58" s="11">
        <f t="shared" si="15"/>
        <v>-1</v>
      </c>
      <c r="AM58" s="11">
        <f t="shared" si="18"/>
        <v>0</v>
      </c>
      <c r="AN58" s="11">
        <f t="shared" si="16"/>
        <v>-1</v>
      </c>
      <c r="AO58" s="11">
        <f>SUM(B58:I58)/SUM($B$3:$I$3)</f>
        <v>5.4545454545454543E-2</v>
      </c>
    </row>
    <row r="59" spans="1:41">
      <c r="A59" s="12" t="s">
        <v>97</v>
      </c>
      <c r="B59" s="12">
        <v>33</v>
      </c>
      <c r="C59" s="12">
        <v>49</v>
      </c>
      <c r="D59" s="12">
        <v>3</v>
      </c>
      <c r="E59" s="12">
        <v>60</v>
      </c>
      <c r="F59" s="12">
        <v>4</v>
      </c>
      <c r="G59" s="12">
        <v>2</v>
      </c>
      <c r="H59" s="12">
        <v>8</v>
      </c>
      <c r="I59" s="12">
        <v>82</v>
      </c>
      <c r="J59" s="12">
        <f t="shared" si="2"/>
        <v>241</v>
      </c>
      <c r="K59" s="13">
        <v>35</v>
      </c>
      <c r="L59" s="5">
        <f t="shared" si="3"/>
        <v>2.0400554999999998</v>
      </c>
      <c r="M59" s="5">
        <f t="shared" si="4"/>
        <v>491.65337549999992</v>
      </c>
      <c r="N59" s="5">
        <f>Tabelle1[[#This Row],[Kosten Gesamt]]/$J$3</f>
        <v>0.81265020743801641</v>
      </c>
      <c r="O59" s="5">
        <f>Tabelle1[[#This Row],[Kosten Gesamt]]/8</f>
        <v>61.456671937499991</v>
      </c>
      <c r="P59" s="5">
        <f t="shared" si="5"/>
        <v>115.40885399999999</v>
      </c>
      <c r="Q59" s="5">
        <f t="shared" si="6"/>
        <v>171.36466199999998</v>
      </c>
      <c r="R59" s="5">
        <f t="shared" si="6"/>
        <v>10.491714</v>
      </c>
      <c r="S59" s="5">
        <f t="shared" si="6"/>
        <v>209.83427999999998</v>
      </c>
      <c r="T59" s="5">
        <f t="shared" si="6"/>
        <v>13.988951999999999</v>
      </c>
      <c r="U59" s="5">
        <f t="shared" si="6"/>
        <v>6.9944759999999997</v>
      </c>
      <c r="V59" s="5">
        <f>Tabelle1[[#This Row],[Kosten KH 6]]/$G$3</f>
        <v>5.1054569343065688E-2</v>
      </c>
      <c r="W59" s="5">
        <f>H59*$L$5</f>
        <v>27.977903999999999</v>
      </c>
      <c r="X59" s="5">
        <f t="shared" si="17"/>
        <v>286.77351599999997</v>
      </c>
      <c r="Y59" s="11">
        <f t="shared" si="7"/>
        <v>0.76744186046511631</v>
      </c>
      <c r="Z59" s="11">
        <f t="shared" si="8"/>
        <v>0.92656566631284376</v>
      </c>
      <c r="AA59" s="11">
        <f t="shared" si="9"/>
        <v>0.94230769230769229</v>
      </c>
      <c r="AB59" s="11">
        <f t="shared" si="10"/>
        <v>-0.16038858049167334</v>
      </c>
      <c r="AC59" s="11">
        <f>D59/D$3</f>
        <v>3.7974683544303799E-2</v>
      </c>
      <c r="AD59" s="11">
        <f t="shared" si="11"/>
        <v>-0.96616394176096643</v>
      </c>
      <c r="AE59" s="11">
        <f>E59/E$3</f>
        <v>1.0169491525423728</v>
      </c>
      <c r="AF59" s="11">
        <f t="shared" si="12"/>
        <v>-9.3881830208931483E-2</v>
      </c>
      <c r="AG59" s="11">
        <f>F59/F$3</f>
        <v>0.125</v>
      </c>
      <c r="AH59" s="11">
        <f t="shared" si="13"/>
        <v>-0.88862297496318121</v>
      </c>
      <c r="AI59" s="11">
        <f>G59/G$3</f>
        <v>1.4598540145985401E-2</v>
      </c>
      <c r="AJ59" s="16">
        <f t="shared" si="14"/>
        <v>-0.98699246422927667</v>
      </c>
      <c r="AK59" s="11">
        <f>H59/H$3</f>
        <v>6.9565217391304349E-2</v>
      </c>
      <c r="AL59" s="11">
        <f t="shared" si="15"/>
        <v>-0.93801626432733554</v>
      </c>
      <c r="AM59" s="11">
        <f t="shared" si="18"/>
        <v>0.93181818181818177</v>
      </c>
      <c r="AN59" s="11">
        <f t="shared" si="16"/>
        <v>-0.16973490427098686</v>
      </c>
      <c r="AO59" s="11">
        <f>SUM(B59:I59)/SUM($B$3:$I$3)</f>
        <v>0.39834710743801655</v>
      </c>
    </row>
    <row r="60" spans="1:41">
      <c r="A60" s="12" t="s">
        <v>98</v>
      </c>
      <c r="B60" s="12">
        <v>33</v>
      </c>
      <c r="C60" s="12">
        <v>49</v>
      </c>
      <c r="D60" s="12">
        <v>1</v>
      </c>
      <c r="E60" s="12">
        <v>60</v>
      </c>
      <c r="F60" s="12">
        <v>2</v>
      </c>
      <c r="G60" s="12">
        <v>0</v>
      </c>
      <c r="H60" s="12">
        <v>0</v>
      </c>
      <c r="I60" s="12">
        <v>2</v>
      </c>
      <c r="J60" s="12">
        <f t="shared" si="2"/>
        <v>147</v>
      </c>
      <c r="K60" s="13">
        <v>50</v>
      </c>
      <c r="L60" s="5">
        <f t="shared" si="3"/>
        <v>2.9143650000000001</v>
      </c>
      <c r="M60" s="5">
        <f t="shared" si="4"/>
        <v>428.411655</v>
      </c>
      <c r="N60" s="5">
        <f>Tabelle1[[#This Row],[Kosten Gesamt]]/$J$3</f>
        <v>0.70811843801652896</v>
      </c>
      <c r="O60" s="5">
        <f>Tabelle1[[#This Row],[Kosten Gesamt]]/8</f>
        <v>53.551456875</v>
      </c>
      <c r="P60" s="5">
        <f t="shared" si="5"/>
        <v>115.40885399999999</v>
      </c>
      <c r="Q60" s="5">
        <f t="shared" si="6"/>
        <v>171.36466199999998</v>
      </c>
      <c r="R60" s="5">
        <f t="shared" si="6"/>
        <v>3.4972379999999998</v>
      </c>
      <c r="S60" s="5">
        <f t="shared" si="6"/>
        <v>209.83427999999998</v>
      </c>
      <c r="T60" s="5">
        <f t="shared" si="6"/>
        <v>6.9944759999999997</v>
      </c>
      <c r="U60" s="5">
        <f t="shared" si="6"/>
        <v>0</v>
      </c>
      <c r="V60" s="5">
        <f>Tabelle1[[#This Row],[Kosten KH 6]]/$G$3</f>
        <v>0</v>
      </c>
      <c r="W60" s="5">
        <f>H60*$L$5</f>
        <v>0</v>
      </c>
      <c r="X60" s="5">
        <f t="shared" si="17"/>
        <v>6.9944759999999997</v>
      </c>
      <c r="Y60" s="11">
        <f t="shared" si="7"/>
        <v>0.76744186046511631</v>
      </c>
      <c r="Z60" s="11">
        <f t="shared" si="8"/>
        <v>2.1585192216421456</v>
      </c>
      <c r="AA60" s="11">
        <f t="shared" si="9"/>
        <v>0.94230769230769229</v>
      </c>
      <c r="AB60" s="11">
        <f t="shared" si="10"/>
        <v>-0.16038858049167334</v>
      </c>
      <c r="AC60" s="11">
        <f>D60/D$3</f>
        <v>1.2658227848101266E-2</v>
      </c>
      <c r="AD60" s="11">
        <f t="shared" si="11"/>
        <v>-0.98872131392032203</v>
      </c>
      <c r="AE60" s="11">
        <f>E60/E$3</f>
        <v>1.0169491525423728</v>
      </c>
      <c r="AF60" s="11">
        <f t="shared" si="12"/>
        <v>-9.3881830208931483E-2</v>
      </c>
      <c r="AG60" s="11">
        <f>F60/F$3</f>
        <v>6.25E-2</v>
      </c>
      <c r="AH60" s="11">
        <f t="shared" si="13"/>
        <v>-0.94431148748159055</v>
      </c>
      <c r="AI60" s="11">
        <f>G60/G$3</f>
        <v>0</v>
      </c>
      <c r="AJ60" s="16">
        <f t="shared" si="14"/>
        <v>-1</v>
      </c>
      <c r="AK60" s="11">
        <f>H60/H$3</f>
        <v>0</v>
      </c>
      <c r="AL60" s="11">
        <f t="shared" si="15"/>
        <v>-1</v>
      </c>
      <c r="AM60" s="11">
        <f t="shared" si="18"/>
        <v>2.2727272727272728E-2</v>
      </c>
      <c r="AN60" s="11">
        <f t="shared" si="16"/>
        <v>-0.97974963181148755</v>
      </c>
      <c r="AO60" s="11">
        <f>SUM(B60:I60)/SUM($B$3:$I$3)</f>
        <v>0.24297520661157024</v>
      </c>
    </row>
    <row r="66" spans="1:3" ht="30.75">
      <c r="A66" s="8" t="s">
        <v>99</v>
      </c>
    </row>
    <row r="67" spans="1:3" ht="30.75">
      <c r="A67" s="8" t="s">
        <v>100</v>
      </c>
      <c r="B67">
        <f>SUM(J5:J60)/SUM('Radiologische Leistungen'!J5:J16)</f>
        <v>9.5646711012564669</v>
      </c>
      <c r="C67" t="s">
        <v>101</v>
      </c>
    </row>
    <row r="69" spans="1:3">
      <c r="A69" t="s">
        <v>102</v>
      </c>
    </row>
    <row r="70" spans="1:3" ht="30.75">
      <c r="A70" s="8" t="s">
        <v>100</v>
      </c>
      <c r="B70">
        <f>SUM(G5:G60)/SUM('Radiologische Leistungen'!G5:G17)</f>
        <v>15.2109375</v>
      </c>
      <c r="C70" t="s">
        <v>101</v>
      </c>
    </row>
  </sheetData>
  <pageMargins left="0.7" right="0.7" top="0.75" bottom="0.75" header="0.3" footer="0.3"/>
  <pageSetup paperSize="9" scale="63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7B7C-C1F8-4407-97E7-BC507124BCAC}">
  <dimension ref="A8:C65"/>
  <sheetViews>
    <sheetView topLeftCell="A20" workbookViewId="0">
      <selection activeCell="K22" sqref="K22"/>
    </sheetView>
  </sheetViews>
  <sheetFormatPr defaultRowHeight="15"/>
  <cols>
    <col min="1" max="1" width="26.42578125" bestFit="1" customWidth="1"/>
    <col min="2" max="2" width="23.28515625" bestFit="1" customWidth="1"/>
    <col min="3" max="4" width="28.28515625" bestFit="1" customWidth="1"/>
    <col min="5" max="10" width="23.28515625" bestFit="1" customWidth="1"/>
  </cols>
  <sheetData>
    <row r="8" spans="1:3">
      <c r="A8" s="15" t="s">
        <v>2</v>
      </c>
      <c r="B8" t="s">
        <v>103</v>
      </c>
      <c r="C8" t="s">
        <v>104</v>
      </c>
    </row>
    <row r="9" spans="1:3">
      <c r="A9" t="s">
        <v>81</v>
      </c>
      <c r="B9" s="5">
        <v>55.955807999999998</v>
      </c>
      <c r="C9" s="5">
        <v>74.316307500000008</v>
      </c>
    </row>
    <row r="10" spans="1:3">
      <c r="A10" t="s">
        <v>60</v>
      </c>
      <c r="B10" s="5">
        <v>94.425426000000002</v>
      </c>
      <c r="C10" s="5">
        <v>125.317695</v>
      </c>
    </row>
    <row r="11" spans="1:3">
      <c r="A11" t="s">
        <v>64</v>
      </c>
      <c r="B11" s="5">
        <v>153.87847199999999</v>
      </c>
      <c r="C11" s="5">
        <v>99.817001250000004</v>
      </c>
    </row>
    <row r="12" spans="1:3">
      <c r="A12" t="s">
        <v>96</v>
      </c>
      <c r="B12" s="5">
        <v>52.458569999999995</v>
      </c>
      <c r="C12" s="5">
        <v>48.087022500000003</v>
      </c>
    </row>
    <row r="13" spans="1:3">
      <c r="A13" t="s">
        <v>94</v>
      </c>
      <c r="B13" s="5">
        <v>83.933712</v>
      </c>
      <c r="C13" s="5">
        <v>41.529701250000002</v>
      </c>
    </row>
    <row r="14" spans="1:3">
      <c r="A14" t="s">
        <v>95</v>
      </c>
      <c r="B14" s="5">
        <v>83.933712</v>
      </c>
      <c r="C14" s="5">
        <v>87.430949999999996</v>
      </c>
    </row>
    <row r="15" spans="1:3">
      <c r="A15" t="s">
        <v>49</v>
      </c>
      <c r="B15" s="5">
        <v>27.977903999999999</v>
      </c>
      <c r="C15" s="5">
        <v>48.888472875000005</v>
      </c>
    </row>
    <row r="16" spans="1:3">
      <c r="A16" t="s">
        <v>43</v>
      </c>
      <c r="B16" s="5">
        <v>360.21551399999998</v>
      </c>
      <c r="C16" s="5">
        <v>296.82807524999998</v>
      </c>
    </row>
    <row r="17" spans="1:3">
      <c r="A17" t="s">
        <v>91</v>
      </c>
      <c r="B17" s="5">
        <v>115.40885399999999</v>
      </c>
      <c r="C17" s="5">
        <v>55.372934999999998</v>
      </c>
    </row>
    <row r="18" spans="1:3">
      <c r="A18" t="s">
        <v>44</v>
      </c>
      <c r="B18" s="5">
        <v>20.983428</v>
      </c>
      <c r="C18" s="5">
        <v>57.121553999999996</v>
      </c>
    </row>
    <row r="19" spans="1:3">
      <c r="A19" t="s">
        <v>89</v>
      </c>
      <c r="B19" s="5">
        <v>0</v>
      </c>
      <c r="C19" s="5">
        <v>18.214781250000001</v>
      </c>
    </row>
    <row r="20" spans="1:3">
      <c r="A20" t="s">
        <v>85</v>
      </c>
      <c r="B20" s="5">
        <v>3.4972379999999998</v>
      </c>
      <c r="C20" s="5">
        <v>41.529701250000002</v>
      </c>
    </row>
    <row r="21" spans="1:3">
      <c r="A21" t="s">
        <v>54</v>
      </c>
      <c r="B21" s="5">
        <v>286.77351599999997</v>
      </c>
      <c r="C21" s="5">
        <v>146.30112299999999</v>
      </c>
    </row>
    <row r="22" spans="1:3">
      <c r="A22" t="s">
        <v>84</v>
      </c>
      <c r="B22" s="5">
        <v>3.4972379999999998</v>
      </c>
      <c r="C22" s="5">
        <v>41.893996874999999</v>
      </c>
    </row>
    <row r="23" spans="1:3">
      <c r="A23" t="s">
        <v>53</v>
      </c>
      <c r="B23" s="5">
        <v>311.25418200000001</v>
      </c>
      <c r="C23" s="5">
        <v>92.895384374999992</v>
      </c>
    </row>
    <row r="24" spans="1:3">
      <c r="A24" t="s">
        <v>73</v>
      </c>
      <c r="B24" s="5">
        <v>13.988951999999999</v>
      </c>
      <c r="C24" s="5">
        <v>80.727910499999993</v>
      </c>
    </row>
    <row r="25" spans="1:3">
      <c r="A25" t="s">
        <v>61</v>
      </c>
      <c r="B25" s="5">
        <v>150.38123400000001</v>
      </c>
      <c r="C25" s="5">
        <v>111.62017949999999</v>
      </c>
    </row>
    <row r="26" spans="1:3">
      <c r="A26" t="s">
        <v>62</v>
      </c>
      <c r="B26" s="5">
        <v>66.447521999999992</v>
      </c>
      <c r="C26" s="5">
        <v>34.098070499999999</v>
      </c>
    </row>
    <row r="27" spans="1:3">
      <c r="A27" t="s">
        <v>80</v>
      </c>
      <c r="B27" s="5">
        <v>328.74037199999998</v>
      </c>
      <c r="C27" s="5">
        <v>855.36612750000006</v>
      </c>
    </row>
    <row r="28" spans="1:3">
      <c r="A28" t="s">
        <v>71</v>
      </c>
      <c r="B28" s="5">
        <v>41.966856</v>
      </c>
      <c r="C28" s="5">
        <v>14.280388499999999</v>
      </c>
    </row>
    <row r="29" spans="1:3">
      <c r="A29" t="s">
        <v>48</v>
      </c>
      <c r="B29" s="5">
        <v>160.87294799999998</v>
      </c>
      <c r="C29" s="5">
        <v>119.48896500000001</v>
      </c>
    </row>
    <row r="30" spans="1:3">
      <c r="A30" t="s">
        <v>83</v>
      </c>
      <c r="B30" s="5">
        <v>13.988951999999999</v>
      </c>
      <c r="C30" s="5">
        <v>34.972380000000001</v>
      </c>
    </row>
    <row r="31" spans="1:3">
      <c r="A31" t="s">
        <v>86</v>
      </c>
      <c r="B31" s="5">
        <v>3.4972379999999998</v>
      </c>
      <c r="C31" s="5">
        <v>56.465821875000003</v>
      </c>
    </row>
    <row r="32" spans="1:3">
      <c r="A32" t="s">
        <v>87</v>
      </c>
      <c r="B32" s="5">
        <v>10.491714</v>
      </c>
      <c r="C32" s="5">
        <v>60.108778125000001</v>
      </c>
    </row>
    <row r="33" spans="1:3">
      <c r="A33" t="s">
        <v>69</v>
      </c>
      <c r="B33" s="5">
        <v>174.86189999999999</v>
      </c>
      <c r="C33" s="5">
        <v>130.56355199999999</v>
      </c>
    </row>
    <row r="34" spans="1:3">
      <c r="A34" t="s">
        <v>77</v>
      </c>
      <c r="B34" s="5">
        <v>164.37018599999999</v>
      </c>
      <c r="C34" s="5">
        <v>73.660575374999993</v>
      </c>
    </row>
    <row r="35" spans="1:3">
      <c r="A35" t="s">
        <v>59</v>
      </c>
      <c r="B35" s="5">
        <v>185.35361399999999</v>
      </c>
      <c r="C35" s="5">
        <v>132.0207345</v>
      </c>
    </row>
    <row r="36" spans="1:3">
      <c r="A36" t="s">
        <v>78</v>
      </c>
      <c r="B36" s="5">
        <v>269.28732600000001</v>
      </c>
      <c r="C36" s="5">
        <v>122.6947665</v>
      </c>
    </row>
    <row r="37" spans="1:3">
      <c r="A37" t="s">
        <v>57</v>
      </c>
      <c r="B37" s="5">
        <v>195.84532799999999</v>
      </c>
      <c r="C37" s="5">
        <v>135.22653599999998</v>
      </c>
    </row>
    <row r="38" spans="1:3">
      <c r="A38" t="s">
        <v>58</v>
      </c>
      <c r="B38" s="5">
        <v>220.32599399999998</v>
      </c>
      <c r="C38" s="5">
        <v>126.77487749999999</v>
      </c>
    </row>
    <row r="39" spans="1:3">
      <c r="A39" t="s">
        <v>68</v>
      </c>
      <c r="B39" s="5">
        <v>195.84532799999999</v>
      </c>
      <c r="C39" s="5">
        <v>79.853600999999998</v>
      </c>
    </row>
    <row r="40" spans="1:3">
      <c r="A40" t="s">
        <v>98</v>
      </c>
      <c r="B40" s="5">
        <v>0</v>
      </c>
      <c r="C40" s="5">
        <v>53.551456875</v>
      </c>
    </row>
    <row r="41" spans="1:3">
      <c r="A41" t="s">
        <v>67</v>
      </c>
      <c r="B41" s="5">
        <v>318.24865799999998</v>
      </c>
      <c r="C41" s="5">
        <v>139.88952</v>
      </c>
    </row>
    <row r="42" spans="1:3">
      <c r="A42" t="s">
        <v>97</v>
      </c>
      <c r="B42" s="5">
        <v>6.9944759999999997</v>
      </c>
      <c r="C42" s="5">
        <v>61.456671937499991</v>
      </c>
    </row>
    <row r="43" spans="1:3">
      <c r="A43" t="s">
        <v>79</v>
      </c>
      <c r="B43" s="5">
        <v>0</v>
      </c>
      <c r="C43" s="5">
        <v>27.686467499999999</v>
      </c>
    </row>
    <row r="44" spans="1:3">
      <c r="A44" t="s">
        <v>75</v>
      </c>
      <c r="B44" s="5">
        <v>13.988951999999999</v>
      </c>
      <c r="C44" s="5">
        <v>4.9544204999999994</v>
      </c>
    </row>
    <row r="45" spans="1:3">
      <c r="A45" t="s">
        <v>90</v>
      </c>
      <c r="B45" s="5">
        <v>0</v>
      </c>
      <c r="C45" s="5">
        <v>101.41990200000001</v>
      </c>
    </row>
    <row r="46" spans="1:3">
      <c r="A46" t="s">
        <v>70</v>
      </c>
      <c r="B46" s="5">
        <v>0</v>
      </c>
      <c r="C46" s="5">
        <v>0</v>
      </c>
    </row>
    <row r="47" spans="1:3">
      <c r="A47" t="s">
        <v>46</v>
      </c>
      <c r="B47" s="5">
        <v>0</v>
      </c>
      <c r="C47" s="5">
        <v>0</v>
      </c>
    </row>
    <row r="48" spans="1:3">
      <c r="A48" t="s">
        <v>93</v>
      </c>
      <c r="B48" s="5">
        <v>48.961331999999999</v>
      </c>
      <c r="C48" s="5">
        <v>19.234808999999998</v>
      </c>
    </row>
    <row r="49" spans="1:3">
      <c r="A49" t="s">
        <v>52</v>
      </c>
      <c r="B49" s="5">
        <v>342.72932399999996</v>
      </c>
      <c r="C49" s="5">
        <v>113.878812375</v>
      </c>
    </row>
    <row r="50" spans="1:3">
      <c r="A50" t="s">
        <v>66</v>
      </c>
      <c r="B50" s="5">
        <v>339.23208599999998</v>
      </c>
      <c r="C50" s="5">
        <v>152.4212895</v>
      </c>
    </row>
    <row r="51" spans="1:3">
      <c r="A51" t="s">
        <v>63</v>
      </c>
      <c r="B51" s="5">
        <v>87.430949999999996</v>
      </c>
      <c r="C51" s="5">
        <v>114.5345445</v>
      </c>
    </row>
    <row r="52" spans="1:3">
      <c r="A52" t="s">
        <v>76</v>
      </c>
      <c r="B52" s="5">
        <v>13.988951999999999</v>
      </c>
      <c r="C52" s="5">
        <v>4.6629839999999998</v>
      </c>
    </row>
    <row r="53" spans="1:3">
      <c r="A53" t="s">
        <v>65</v>
      </c>
      <c r="B53" s="5">
        <v>150.38123400000001</v>
      </c>
      <c r="C53" s="5">
        <v>99.08841000000001</v>
      </c>
    </row>
    <row r="54" spans="1:3">
      <c r="A54" t="s">
        <v>56</v>
      </c>
      <c r="B54" s="5">
        <v>185.35361399999999</v>
      </c>
      <c r="C54" s="5">
        <v>16.320443999999998</v>
      </c>
    </row>
    <row r="55" spans="1:3">
      <c r="A55" t="s">
        <v>51</v>
      </c>
      <c r="B55" s="5">
        <v>342.72932399999996</v>
      </c>
      <c r="C55" s="5">
        <v>114.09738974999999</v>
      </c>
    </row>
    <row r="56" spans="1:3">
      <c r="A56" t="s">
        <v>47</v>
      </c>
      <c r="B56" s="5">
        <v>356.718276</v>
      </c>
      <c r="C56" s="5">
        <v>217.48448812500001</v>
      </c>
    </row>
    <row r="57" spans="1:3">
      <c r="A57" t="s">
        <v>55</v>
      </c>
      <c r="B57" s="5">
        <v>185.35361399999999</v>
      </c>
      <c r="C57" s="5">
        <v>16.611880499999998</v>
      </c>
    </row>
    <row r="58" spans="1:3">
      <c r="A58" t="s">
        <v>45</v>
      </c>
      <c r="B58" s="5">
        <v>356.718276</v>
      </c>
      <c r="C58" s="5">
        <v>217.48448812500001</v>
      </c>
    </row>
    <row r="59" spans="1:3">
      <c r="A59" t="s">
        <v>82</v>
      </c>
      <c r="B59" s="5">
        <v>20.983428</v>
      </c>
      <c r="C59" s="5">
        <v>201.091185</v>
      </c>
    </row>
    <row r="60" spans="1:3">
      <c r="A60" t="s">
        <v>92</v>
      </c>
      <c r="B60" s="5">
        <v>111.911616</v>
      </c>
      <c r="C60" s="5">
        <v>64.698903000000001</v>
      </c>
    </row>
    <row r="61" spans="1:3">
      <c r="A61" t="s">
        <v>50</v>
      </c>
      <c r="B61" s="5">
        <v>0</v>
      </c>
      <c r="C61" s="5">
        <v>9.8359818749999999</v>
      </c>
    </row>
    <row r="62" spans="1:3">
      <c r="A62" t="s">
        <v>74</v>
      </c>
      <c r="B62" s="5">
        <v>13.988951999999999</v>
      </c>
      <c r="C62" s="5">
        <v>79.853600999999998</v>
      </c>
    </row>
    <row r="63" spans="1:3">
      <c r="A63" t="s">
        <v>72</v>
      </c>
      <c r="B63" s="5">
        <v>48.961331999999999</v>
      </c>
      <c r="C63" s="5">
        <v>27.686467499999999</v>
      </c>
    </row>
    <row r="64" spans="1:3">
      <c r="A64" t="s">
        <v>88</v>
      </c>
      <c r="B64" s="5">
        <v>13.988951999999999</v>
      </c>
      <c r="C64" s="5">
        <v>479.04874687500001</v>
      </c>
    </row>
    <row r="65" spans="1:3">
      <c r="A65" t="s">
        <v>105</v>
      </c>
      <c r="B65" s="5">
        <v>6809.1223859999964</v>
      </c>
      <c r="C65" s="5">
        <v>5780.4608296874994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activeCell="N7" sqref="N7"/>
    </sheetView>
  </sheetViews>
  <sheetFormatPr defaultRowHeight="15"/>
  <cols>
    <col min="1" max="1" width="34.140625" bestFit="1" customWidth="1"/>
    <col min="10" max="10" width="8.28515625" bestFit="1" customWidth="1"/>
    <col min="12" max="12" width="14.42578125" bestFit="1" customWidth="1"/>
    <col min="13" max="13" width="13.85546875" bestFit="1" customWidth="1"/>
    <col min="14" max="14" width="11.5703125" bestFit="1" customWidth="1"/>
  </cols>
  <sheetData>
    <row r="1" spans="1:14">
      <c r="A1" t="s">
        <v>106</v>
      </c>
    </row>
    <row r="3" spans="1:14">
      <c r="A3" s="4" t="s">
        <v>1</v>
      </c>
      <c r="B3" s="4">
        <v>43</v>
      </c>
      <c r="C3" s="4">
        <v>52</v>
      </c>
      <c r="D3" s="4">
        <v>79</v>
      </c>
      <c r="E3" s="4">
        <v>59</v>
      </c>
      <c r="F3" s="4">
        <v>32</v>
      </c>
      <c r="G3" s="4">
        <v>137</v>
      </c>
      <c r="H3" s="4">
        <v>115</v>
      </c>
      <c r="I3" s="4">
        <v>88</v>
      </c>
      <c r="J3" s="4">
        <f>SUM(B3:I3)</f>
        <v>605</v>
      </c>
      <c r="K3" s="3" t="s">
        <v>107</v>
      </c>
    </row>
    <row r="4" spans="1:14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3" t="s">
        <v>11</v>
      </c>
      <c r="K4" s="3" t="s">
        <v>108</v>
      </c>
      <c r="L4" t="s">
        <v>14</v>
      </c>
      <c r="M4" t="s">
        <v>109</v>
      </c>
      <c r="N4" t="s">
        <v>22</v>
      </c>
    </row>
    <row r="5" spans="1:14">
      <c r="A5" s="1" t="s">
        <v>110</v>
      </c>
      <c r="B5" s="1">
        <v>25</v>
      </c>
      <c r="C5" s="1">
        <v>32</v>
      </c>
      <c r="D5" s="1">
        <v>30</v>
      </c>
      <c r="E5" s="1">
        <v>15</v>
      </c>
      <c r="F5" s="1">
        <v>41</v>
      </c>
      <c r="G5" s="1">
        <v>28</v>
      </c>
      <c r="H5" s="1">
        <v>2</v>
      </c>
      <c r="I5" s="1">
        <v>106</v>
      </c>
      <c r="J5" s="1">
        <f>SUM(B5:I5)</f>
        <v>279</v>
      </c>
      <c r="K5" s="1">
        <v>42.64</v>
      </c>
      <c r="L5" s="5">
        <f>J5*K5</f>
        <v>11896.56</v>
      </c>
      <c r="M5" s="5">
        <f>L5/8</f>
        <v>1487.07</v>
      </c>
      <c r="N5" s="5">
        <f>G5*K5</f>
        <v>1193.92</v>
      </c>
    </row>
    <row r="6" spans="1:14">
      <c r="A6" s="1" t="s">
        <v>111</v>
      </c>
      <c r="B6" s="1">
        <v>23</v>
      </c>
      <c r="C6" s="1">
        <v>33</v>
      </c>
      <c r="D6" s="1">
        <v>31</v>
      </c>
      <c r="E6" s="1">
        <v>11</v>
      </c>
      <c r="F6" s="1">
        <v>40</v>
      </c>
      <c r="G6" s="17">
        <v>22</v>
      </c>
      <c r="H6" s="1">
        <v>3</v>
      </c>
      <c r="I6" s="1">
        <v>68</v>
      </c>
      <c r="J6" s="1">
        <f t="shared" ref="J6:J16" si="0">SUM(B6:I6)</f>
        <v>231</v>
      </c>
      <c r="K6" s="1">
        <v>69.819999999999993</v>
      </c>
      <c r="L6" s="5">
        <f>J6*K6</f>
        <v>16128.419999999998</v>
      </c>
      <c r="M6" s="5">
        <f>L6/8</f>
        <v>2016.0524999999998</v>
      </c>
      <c r="N6" s="5">
        <f t="shared" ref="N6:N16" si="1">G6*K6</f>
        <v>1536.04</v>
      </c>
    </row>
    <row r="7" spans="1:14">
      <c r="A7" s="1" t="s">
        <v>112</v>
      </c>
      <c r="B7" s="1">
        <v>23</v>
      </c>
      <c r="C7" s="1">
        <v>32</v>
      </c>
      <c r="D7" s="1">
        <v>30</v>
      </c>
      <c r="E7" s="1">
        <v>9</v>
      </c>
      <c r="F7" s="1">
        <v>39</v>
      </c>
      <c r="G7" s="17">
        <v>12</v>
      </c>
      <c r="H7" s="1">
        <v>3</v>
      </c>
      <c r="I7" s="1">
        <v>68</v>
      </c>
      <c r="J7" s="1">
        <f t="shared" si="0"/>
        <v>216</v>
      </c>
      <c r="K7" s="1">
        <v>69.819999999999993</v>
      </c>
      <c r="L7" s="5">
        <f t="shared" ref="L6:L16" si="2">J7*K7</f>
        <v>15081.119999999999</v>
      </c>
      <c r="M7" s="5">
        <f t="shared" ref="M6:M16" si="3">L7/8</f>
        <v>1885.1399999999999</v>
      </c>
      <c r="N7" s="5">
        <f t="shared" si="1"/>
        <v>837.83999999999992</v>
      </c>
    </row>
    <row r="8" spans="1:14">
      <c r="A8" s="1" t="s">
        <v>113</v>
      </c>
      <c r="B8" s="1">
        <v>6</v>
      </c>
      <c r="C8" s="1">
        <v>33</v>
      </c>
      <c r="D8" s="1">
        <v>42</v>
      </c>
      <c r="E8" s="1">
        <v>54</v>
      </c>
      <c r="F8" s="1">
        <v>14</v>
      </c>
      <c r="G8" s="1">
        <v>5</v>
      </c>
      <c r="H8" s="1">
        <v>9</v>
      </c>
      <c r="I8" s="1">
        <v>34</v>
      </c>
      <c r="J8" s="1">
        <f t="shared" si="0"/>
        <v>197</v>
      </c>
      <c r="K8" s="1">
        <v>31.87</v>
      </c>
      <c r="L8" s="5">
        <f t="shared" si="2"/>
        <v>6278.39</v>
      </c>
      <c r="M8" s="5">
        <f t="shared" si="3"/>
        <v>784.79875000000004</v>
      </c>
      <c r="N8" s="5">
        <f t="shared" si="1"/>
        <v>159.35</v>
      </c>
    </row>
    <row r="9" spans="1:14">
      <c r="A9" s="1" t="s">
        <v>114</v>
      </c>
      <c r="B9" s="1">
        <v>6</v>
      </c>
      <c r="C9" s="1">
        <v>32</v>
      </c>
      <c r="D9" s="1">
        <v>40</v>
      </c>
      <c r="E9" s="1">
        <v>47</v>
      </c>
      <c r="F9" s="1">
        <v>14</v>
      </c>
      <c r="G9" s="1">
        <v>4</v>
      </c>
      <c r="H9" s="1">
        <v>9</v>
      </c>
      <c r="I9" s="1">
        <v>32</v>
      </c>
      <c r="J9" s="1">
        <f t="shared" si="0"/>
        <v>184</v>
      </c>
      <c r="K9" s="1">
        <v>31.87</v>
      </c>
      <c r="L9" s="5">
        <f t="shared" si="2"/>
        <v>5864.08</v>
      </c>
      <c r="M9" s="5">
        <f t="shared" si="3"/>
        <v>733.01</v>
      </c>
      <c r="N9" s="5">
        <f t="shared" si="1"/>
        <v>127.48</v>
      </c>
    </row>
    <row r="10" spans="1:14">
      <c r="A10" s="1" t="s">
        <v>115</v>
      </c>
      <c r="B10" s="1">
        <v>7</v>
      </c>
      <c r="C10" s="1">
        <v>46</v>
      </c>
      <c r="D10" s="1">
        <v>6</v>
      </c>
      <c r="E10" s="1">
        <v>12</v>
      </c>
      <c r="F10" s="1">
        <v>9</v>
      </c>
      <c r="G10" s="1">
        <v>3</v>
      </c>
      <c r="H10" s="1"/>
      <c r="I10" s="1"/>
      <c r="J10" s="1">
        <f t="shared" si="0"/>
        <v>83</v>
      </c>
      <c r="K10" s="1">
        <v>25.48</v>
      </c>
      <c r="L10" s="5">
        <f t="shared" si="2"/>
        <v>2114.84</v>
      </c>
      <c r="M10" s="5">
        <f t="shared" si="3"/>
        <v>264.35500000000002</v>
      </c>
      <c r="N10" s="5">
        <f t="shared" si="1"/>
        <v>76.44</v>
      </c>
    </row>
    <row r="11" spans="1:14">
      <c r="A11" s="1" t="s">
        <v>116</v>
      </c>
      <c r="B11" s="1"/>
      <c r="C11" s="1"/>
      <c r="D11" s="1"/>
      <c r="E11" s="1"/>
      <c r="F11" s="1">
        <v>1</v>
      </c>
      <c r="G11" s="17">
        <v>20</v>
      </c>
      <c r="H11" s="1">
        <v>5</v>
      </c>
      <c r="I11" s="1">
        <v>43</v>
      </c>
      <c r="J11" s="1">
        <f t="shared" si="0"/>
        <v>69</v>
      </c>
      <c r="K11" s="1">
        <v>25.48</v>
      </c>
      <c r="L11" s="5">
        <f t="shared" si="2"/>
        <v>1758.1200000000001</v>
      </c>
      <c r="M11" s="5">
        <f t="shared" si="3"/>
        <v>219.76500000000001</v>
      </c>
      <c r="N11" s="5">
        <f t="shared" si="1"/>
        <v>509.6</v>
      </c>
    </row>
    <row r="12" spans="1:14">
      <c r="A12" s="1" t="s">
        <v>117</v>
      </c>
      <c r="B12" s="1">
        <v>1</v>
      </c>
      <c r="C12" s="1">
        <v>3</v>
      </c>
      <c r="D12" s="1">
        <v>3</v>
      </c>
      <c r="E12" s="1">
        <v>4</v>
      </c>
      <c r="F12" s="1">
        <v>1</v>
      </c>
      <c r="G12" s="1">
        <v>8</v>
      </c>
      <c r="H12" s="1">
        <v>2</v>
      </c>
      <c r="I12" s="1">
        <v>1</v>
      </c>
      <c r="J12" s="1">
        <f t="shared" si="0"/>
        <v>23</v>
      </c>
      <c r="K12" s="1">
        <v>355.52</v>
      </c>
      <c r="L12" s="5">
        <f t="shared" si="2"/>
        <v>8176.9599999999991</v>
      </c>
      <c r="M12" s="5">
        <f t="shared" si="3"/>
        <v>1022.1199999999999</v>
      </c>
      <c r="N12" s="5">
        <f t="shared" si="1"/>
        <v>2844.16</v>
      </c>
    </row>
    <row r="13" spans="1:14">
      <c r="A13" s="1" t="s">
        <v>118</v>
      </c>
      <c r="B13" s="1">
        <v>2</v>
      </c>
      <c r="C13" s="1">
        <v>3</v>
      </c>
      <c r="D13" s="1">
        <v>4</v>
      </c>
      <c r="E13" s="1">
        <v>2</v>
      </c>
      <c r="F13" s="1">
        <v>3</v>
      </c>
      <c r="G13" s="1">
        <v>6</v>
      </c>
      <c r="H13" s="1">
        <v>1</v>
      </c>
      <c r="I13" s="1"/>
      <c r="J13" s="1">
        <f t="shared" si="0"/>
        <v>21</v>
      </c>
      <c r="K13" s="1">
        <v>40.71</v>
      </c>
      <c r="L13" s="5">
        <f t="shared" si="2"/>
        <v>854.91</v>
      </c>
      <c r="M13" s="5">
        <f t="shared" si="3"/>
        <v>106.86375</v>
      </c>
      <c r="N13" s="5">
        <f t="shared" si="1"/>
        <v>244.26</v>
      </c>
    </row>
    <row r="14" spans="1:14">
      <c r="A14" s="1" t="s">
        <v>119</v>
      </c>
      <c r="B14" s="1">
        <v>1</v>
      </c>
      <c r="C14" s="1">
        <v>3</v>
      </c>
      <c r="D14" s="1">
        <v>2</v>
      </c>
      <c r="E14" s="1">
        <v>1</v>
      </c>
      <c r="F14" s="1">
        <v>1</v>
      </c>
      <c r="G14" s="1">
        <v>9</v>
      </c>
      <c r="H14" s="1">
        <v>2</v>
      </c>
      <c r="I14" s="1">
        <v>2</v>
      </c>
      <c r="J14" s="1">
        <f t="shared" si="0"/>
        <v>21</v>
      </c>
      <c r="K14" s="1">
        <v>355.52</v>
      </c>
      <c r="L14" s="5">
        <f t="shared" si="2"/>
        <v>7465.92</v>
      </c>
      <c r="M14" s="5">
        <f t="shared" si="3"/>
        <v>933.24</v>
      </c>
      <c r="N14" s="5">
        <f t="shared" si="1"/>
        <v>3199.68</v>
      </c>
    </row>
    <row r="15" spans="1:14">
      <c r="A15" s="1" t="s">
        <v>120</v>
      </c>
      <c r="B15" s="1">
        <v>1</v>
      </c>
      <c r="C15" s="1">
        <v>3</v>
      </c>
      <c r="D15" s="1">
        <v>2</v>
      </c>
      <c r="E15" s="1">
        <v>1</v>
      </c>
      <c r="F15" s="1">
        <v>1</v>
      </c>
      <c r="G15" s="17">
        <v>7</v>
      </c>
      <c r="H15" s="1">
        <v>2</v>
      </c>
      <c r="I15" s="1">
        <v>1</v>
      </c>
      <c r="J15" s="1">
        <f t="shared" si="0"/>
        <v>18</v>
      </c>
      <c r="K15" s="1">
        <v>355.52</v>
      </c>
      <c r="L15" s="5">
        <f t="shared" si="2"/>
        <v>6399.36</v>
      </c>
      <c r="M15" s="5">
        <f t="shared" si="3"/>
        <v>799.92</v>
      </c>
      <c r="N15" s="5">
        <f t="shared" si="1"/>
        <v>2488.64</v>
      </c>
    </row>
    <row r="16" spans="1:14">
      <c r="A16" s="1" t="s">
        <v>121</v>
      </c>
      <c r="B16" s="1"/>
      <c r="C16" s="1">
        <v>1</v>
      </c>
      <c r="D16" s="1">
        <v>1</v>
      </c>
      <c r="E16" s="1">
        <v>2</v>
      </c>
      <c r="F16" s="1"/>
      <c r="G16" s="17">
        <v>4</v>
      </c>
      <c r="H16" s="1">
        <v>2</v>
      </c>
      <c r="I16" s="1">
        <v>1</v>
      </c>
      <c r="J16" s="1">
        <f t="shared" si="0"/>
        <v>11</v>
      </c>
      <c r="K16" s="1">
        <v>42.64</v>
      </c>
      <c r="L16" s="5">
        <f t="shared" si="2"/>
        <v>469.04</v>
      </c>
      <c r="M16" s="5">
        <f t="shared" si="3"/>
        <v>58.63</v>
      </c>
      <c r="N16" s="5">
        <f t="shared" si="1"/>
        <v>170.56</v>
      </c>
    </row>
    <row r="17" spans="12:14">
      <c r="L17" s="5"/>
      <c r="N17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9D12E4D1B98F4F97E102262250CA02" ma:contentTypeVersion="3" ma:contentTypeDescription="Ein neues Dokument erstellen." ma:contentTypeScope="" ma:versionID="a37a11bb972f050b53e5342b6f56429a">
  <xsd:schema xmlns:xsd="http://www.w3.org/2001/XMLSchema" xmlns:xs="http://www.w3.org/2001/XMLSchema" xmlns:p="http://schemas.microsoft.com/office/2006/metadata/properties" xmlns:ns2="e6653e15-6524-4360-9dbd-b962150ccf87" targetNamespace="http://schemas.microsoft.com/office/2006/metadata/properties" ma:root="true" ma:fieldsID="5d82435dbebd907e2c3746d9796950f4" ns2:_="">
    <xsd:import namespace="e6653e15-6524-4360-9dbd-b962150cc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53e15-6524-4360-9dbd-b962150cc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424026-5DBC-4160-A4F3-09FF489EE375}"/>
</file>

<file path=customXml/itemProps2.xml><?xml version="1.0" encoding="utf-8"?>
<ds:datastoreItem xmlns:ds="http://schemas.openxmlformats.org/officeDocument/2006/customXml" ds:itemID="{95E41B2A-5627-4283-B8E6-4E455AD4D24F}"/>
</file>

<file path=customXml/itemProps3.xml><?xml version="1.0" encoding="utf-8"?>
<ds:datastoreItem xmlns:ds="http://schemas.openxmlformats.org/officeDocument/2006/customXml" ds:itemID="{B0C9E840-A2C5-4141-B1DB-A827D60BC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FHOOE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Ramona Haslinger</dc:creator>
  <cp:keywords/>
  <dc:description/>
  <cp:lastModifiedBy>Marz Steffen</cp:lastModifiedBy>
  <cp:revision/>
  <dcterms:created xsi:type="dcterms:W3CDTF">2012-01-12T07:46:01Z</dcterms:created>
  <dcterms:modified xsi:type="dcterms:W3CDTF">2026-01-09T17:28:27Z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0x010100D39D12E4D1B98F4F97E102262250CA02</vt:lpwstr>
  </property>
</Properties>
</file>