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5.xml" ContentType="application/vnd.openxmlformats-officedocument.spreadsheetml.table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fhjoanneum-my.sharepoint.com/personal/steffen_marz_edu_fh-joanneum_at/Documents/WS25_26/Business Process Management/CASE STUDY KLIN PFAD Gruppe 3/"/>
    </mc:Choice>
  </mc:AlternateContent>
  <xr:revisionPtr revIDLastSave="1411" documentId="11_AD4DB114E441178AC67DF4599ED0D22A683EDF1A" xr6:coauthVersionLast="47" xr6:coauthVersionMax="47" xr10:uidLastSave="{5E9523C8-7A0A-4099-9389-E24BFC7BFDF6}"/>
  <bookViews>
    <workbookView xWindow="-108" yWindow="-108" windowWidth="23256" windowHeight="12456" activeTab="3" xr2:uid="{00000000-000D-0000-FFFF-FFFF00000000}"/>
  </bookViews>
  <sheets>
    <sheet name="Hernie Daten" sheetId="3" r:id="rId1"/>
    <sheet name="Hernie Übersicht" sheetId="4" r:id="rId2"/>
    <sheet name="Galle Daten" sheetId="2" r:id="rId3"/>
    <sheet name="Galle Übersicht" sheetId="5" r:id="rId4"/>
    <sheet name="Gesamt Daten" sheetId="7" r:id="rId5"/>
    <sheet name="Gesamtübersicht" sheetId="6" r:id="rId6"/>
  </sheets>
  <definedNames>
    <definedName name="_xlnm._FilterDatabase" localSheetId="2" hidden="1">'Galle Daten'!$A$2:$E$127</definedName>
    <definedName name="_xlnm._FilterDatabase" localSheetId="0" hidden="1">'Hernie Daten'!$A$2:$E$253</definedName>
  </definedNames>
  <calcPr calcId="191028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77" i="5" l="1"/>
  <c r="Q76" i="5"/>
  <c r="R73" i="5"/>
  <c r="O67" i="5"/>
  <c r="O66" i="5"/>
  <c r="R65" i="5"/>
  <c r="P64" i="5"/>
  <c r="Q63" i="5"/>
  <c r="R62" i="5"/>
  <c r="P57" i="5"/>
  <c r="R57" i="5"/>
  <c r="R56" i="5"/>
  <c r="O54" i="5"/>
  <c r="P53" i="5"/>
  <c r="O52" i="5"/>
  <c r="R51" i="5"/>
  <c r="R48" i="5"/>
  <c r="P47" i="5"/>
  <c r="O47" i="5"/>
  <c r="Q46" i="5"/>
  <c r="P45" i="5"/>
  <c r="R44" i="5"/>
  <c r="N43" i="5"/>
  <c r="O42" i="5"/>
  <c r="O40" i="5"/>
  <c r="R39" i="5"/>
  <c r="O38" i="5"/>
  <c r="P37" i="5"/>
  <c r="N37" i="5"/>
  <c r="Q36" i="5"/>
  <c r="O35" i="5"/>
  <c r="N34" i="5"/>
  <c r="R33" i="5"/>
  <c r="O32" i="5"/>
  <c r="R31" i="5"/>
  <c r="N30" i="5"/>
  <c r="O29" i="5"/>
  <c r="N27" i="5"/>
  <c r="O26" i="5"/>
  <c r="O25" i="5"/>
  <c r="O24" i="5"/>
  <c r="R23" i="5"/>
  <c r="O22" i="5"/>
  <c r="R21" i="5"/>
  <c r="O20" i="5"/>
  <c r="R19" i="5"/>
  <c r="P18" i="5"/>
  <c r="Q17" i="5"/>
  <c r="Q16" i="5"/>
  <c r="P15" i="5"/>
  <c r="O14" i="5"/>
  <c r="Q13" i="5"/>
  <c r="Q11" i="5"/>
  <c r="O10" i="5"/>
  <c r="R9" i="5"/>
  <c r="O8" i="5"/>
  <c r="R7" i="5"/>
  <c r="O6" i="5"/>
  <c r="R5" i="5"/>
  <c r="O4" i="5"/>
  <c r="R3" i="5"/>
  <c r="O2" i="5"/>
  <c r="R2" i="5"/>
  <c r="R4" i="5"/>
  <c r="R20" i="5"/>
  <c r="R34" i="5"/>
  <c r="R30" i="5"/>
  <c r="R29" i="5"/>
  <c r="R28" i="5"/>
  <c r="R37" i="5"/>
  <c r="R38" i="5"/>
  <c r="R18" i="5"/>
  <c r="R10" i="5"/>
  <c r="R8" i="5"/>
  <c r="R25" i="5"/>
  <c r="R24" i="5"/>
  <c r="R12" i="5"/>
  <c r="R47" i="5"/>
  <c r="R32" i="5"/>
  <c r="R45" i="5"/>
  <c r="R35" i="5"/>
  <c r="R40" i="5"/>
  <c r="R61" i="5"/>
  <c r="R54" i="5"/>
  <c r="R49" i="5"/>
  <c r="R50" i="5"/>
  <c r="R52" i="5"/>
  <c r="R55" i="5"/>
  <c r="R78" i="5"/>
  <c r="R58" i="5"/>
  <c r="R59" i="5"/>
  <c r="R60" i="5"/>
  <c r="R64" i="5"/>
  <c r="R79" i="5"/>
  <c r="R68" i="5"/>
  <c r="R69" i="5"/>
  <c r="R22" i="5"/>
  <c r="R41" i="5"/>
  <c r="R42" i="5"/>
  <c r="R53" i="5"/>
  <c r="R70" i="5"/>
  <c r="R71" i="5"/>
  <c r="R72" i="5"/>
  <c r="R74" i="5"/>
  <c r="R75" i="5"/>
  <c r="L5" i="6"/>
  <c r="L6" i="6"/>
  <c r="Q6" i="6"/>
  <c r="Q7" i="6"/>
  <c r="Q8" i="6"/>
  <c r="Q5" i="6"/>
  <c r="P6" i="6"/>
  <c r="P7" i="6"/>
  <c r="P8" i="6"/>
  <c r="P5" i="6"/>
  <c r="O6" i="6"/>
  <c r="O7" i="6"/>
  <c r="O8" i="6"/>
  <c r="O5" i="6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188" i="7"/>
  <c r="F189" i="7"/>
  <c r="F190" i="7"/>
  <c r="F191" i="7"/>
  <c r="F192" i="7"/>
  <c r="F193" i="7"/>
  <c r="F194" i="7"/>
  <c r="F195" i="7"/>
  <c r="F196" i="7"/>
  <c r="F197" i="7"/>
  <c r="F198" i="7"/>
  <c r="F199" i="7"/>
  <c r="F200" i="7"/>
  <c r="F201" i="7"/>
  <c r="F202" i="7"/>
  <c r="F203" i="7"/>
  <c r="F204" i="7"/>
  <c r="F205" i="7"/>
  <c r="F206" i="7"/>
  <c r="F207" i="7"/>
  <c r="F208" i="7"/>
  <c r="F209" i="7"/>
  <c r="F210" i="7"/>
  <c r="F211" i="7"/>
  <c r="F212" i="7"/>
  <c r="F213" i="7"/>
  <c r="F214" i="7"/>
  <c r="F215" i="7"/>
  <c r="F216" i="7"/>
  <c r="F217" i="7"/>
  <c r="F218" i="7"/>
  <c r="F219" i="7"/>
  <c r="F220" i="7"/>
  <c r="F221" i="7"/>
  <c r="F222" i="7"/>
  <c r="F223" i="7"/>
  <c r="F224" i="7"/>
  <c r="F225" i="7"/>
  <c r="F226" i="7"/>
  <c r="F227" i="7"/>
  <c r="F228" i="7"/>
  <c r="F229" i="7"/>
  <c r="F230" i="7"/>
  <c r="F231" i="7"/>
  <c r="F232" i="7"/>
  <c r="F233" i="7"/>
  <c r="F234" i="7"/>
  <c r="F235" i="7"/>
  <c r="F236" i="7"/>
  <c r="F237" i="7"/>
  <c r="F238" i="7"/>
  <c r="F239" i="7"/>
  <c r="F240" i="7"/>
  <c r="F241" i="7"/>
  <c r="F242" i="7"/>
  <c r="F243" i="7"/>
  <c r="F244" i="7"/>
  <c r="F245" i="7"/>
  <c r="F246" i="7"/>
  <c r="F247" i="7"/>
  <c r="F248" i="7"/>
  <c r="F249" i="7"/>
  <c r="F250" i="7"/>
  <c r="F251" i="7"/>
  <c r="F252" i="7"/>
  <c r="F2" i="7"/>
  <c r="M8" i="6"/>
  <c r="M7" i="6"/>
  <c r="M6" i="6"/>
  <c r="M5" i="6"/>
  <c r="L7" i="6"/>
  <c r="N7" i="6" s="1"/>
  <c r="L8" i="6"/>
  <c r="H5" i="6"/>
  <c r="G5" i="6"/>
  <c r="P2" i="4"/>
  <c r="P3" i="4"/>
  <c r="P5" i="4"/>
  <c r="P4" i="4"/>
  <c r="P15" i="4"/>
  <c r="P17" i="4"/>
  <c r="P18" i="4"/>
  <c r="P19" i="4"/>
  <c r="P20" i="4"/>
  <c r="P21" i="4"/>
  <c r="P23" i="4"/>
  <c r="P24" i="4"/>
  <c r="P25" i="4"/>
  <c r="P26" i="4"/>
  <c r="P27" i="4"/>
  <c r="P29" i="4"/>
  <c r="P30" i="4"/>
  <c r="P32" i="4"/>
  <c r="P14" i="4"/>
  <c r="P8" i="4"/>
  <c r="P22" i="4"/>
  <c r="P9" i="4"/>
  <c r="P10" i="4"/>
  <c r="P11" i="4"/>
  <c r="P12" i="4"/>
  <c r="P16" i="4"/>
  <c r="P28" i="4"/>
  <c r="P7" i="4"/>
  <c r="P34" i="4"/>
  <c r="P33" i="4"/>
  <c r="P38" i="4"/>
  <c r="P40" i="4"/>
  <c r="P13" i="4"/>
  <c r="P41" i="4"/>
  <c r="P42" i="4"/>
  <c r="P45" i="4"/>
  <c r="P46" i="4"/>
  <c r="P47" i="4"/>
  <c r="P48" i="4"/>
  <c r="P49" i="4"/>
  <c r="P6" i="4"/>
  <c r="P36" i="4"/>
  <c r="P37" i="4"/>
  <c r="P43" i="4"/>
  <c r="P50" i="4"/>
  <c r="P51" i="4"/>
  <c r="P58" i="4"/>
  <c r="P63" i="4"/>
  <c r="P66" i="4"/>
  <c r="P67" i="4"/>
  <c r="P68" i="4"/>
  <c r="P69" i="4"/>
  <c r="P35" i="4"/>
  <c r="P44" i="4"/>
  <c r="P52" i="4"/>
  <c r="P53" i="4"/>
  <c r="P54" i="4"/>
  <c r="P55" i="4"/>
  <c r="P57" i="4"/>
  <c r="P56" i="4"/>
  <c r="P31" i="4"/>
  <c r="P74" i="4"/>
  <c r="P59" i="4"/>
  <c r="P60" i="4"/>
  <c r="P39" i="4"/>
  <c r="P61" i="4"/>
  <c r="P64" i="4"/>
  <c r="P62" i="4"/>
  <c r="P65" i="4"/>
  <c r="P70" i="4"/>
  <c r="P75" i="4"/>
  <c r="P71" i="4"/>
  <c r="P72" i="4"/>
  <c r="P73" i="4"/>
  <c r="P76" i="4"/>
  <c r="P77" i="4"/>
  <c r="P88" i="4"/>
  <c r="P78" i="4"/>
  <c r="P79" i="4"/>
  <c r="P80" i="4"/>
  <c r="P81" i="4"/>
  <c r="P82" i="4"/>
  <c r="P83" i="4"/>
  <c r="P84" i="4"/>
  <c r="P85" i="4"/>
  <c r="P86" i="4"/>
  <c r="P87" i="4"/>
  <c r="Q2" i="4"/>
  <c r="O2" i="4"/>
  <c r="O3" i="4"/>
  <c r="O5" i="4"/>
  <c r="O4" i="4"/>
  <c r="O15" i="4"/>
  <c r="O17" i="4"/>
  <c r="O18" i="4"/>
  <c r="O19" i="4"/>
  <c r="O20" i="4"/>
  <c r="O21" i="4"/>
  <c r="O23" i="4"/>
  <c r="O24" i="4"/>
  <c r="O25" i="4"/>
  <c r="O26" i="4"/>
  <c r="O27" i="4"/>
  <c r="O29" i="4"/>
  <c r="O30" i="4"/>
  <c r="O32" i="4"/>
  <c r="O14" i="4"/>
  <c r="O8" i="4"/>
  <c r="O22" i="4"/>
  <c r="O9" i="4"/>
  <c r="O10" i="4"/>
  <c r="O11" i="4"/>
  <c r="O12" i="4"/>
  <c r="O16" i="4"/>
  <c r="O28" i="4"/>
  <c r="O7" i="4"/>
  <c r="O34" i="4"/>
  <c r="O33" i="4"/>
  <c r="O38" i="4"/>
  <c r="O40" i="4"/>
  <c r="O13" i="4"/>
  <c r="O41" i="4"/>
  <c r="O42" i="4"/>
  <c r="O45" i="4"/>
  <c r="O46" i="4"/>
  <c r="O47" i="4"/>
  <c r="O48" i="4"/>
  <c r="O49" i="4"/>
  <c r="O6" i="4"/>
  <c r="O36" i="4"/>
  <c r="O37" i="4"/>
  <c r="O43" i="4"/>
  <c r="O50" i="4"/>
  <c r="O51" i="4"/>
  <c r="O58" i="4"/>
  <c r="O63" i="4"/>
  <c r="O66" i="4"/>
  <c r="O67" i="4"/>
  <c r="O68" i="4"/>
  <c r="O69" i="4"/>
  <c r="O35" i="4"/>
  <c r="O44" i="4"/>
  <c r="O52" i="4"/>
  <c r="O53" i="4"/>
  <c r="O54" i="4"/>
  <c r="O55" i="4"/>
  <c r="O57" i="4"/>
  <c r="O56" i="4"/>
  <c r="O31" i="4"/>
  <c r="O74" i="4"/>
  <c r="O59" i="4"/>
  <c r="O60" i="4"/>
  <c r="O39" i="4"/>
  <c r="O61" i="4"/>
  <c r="O64" i="4"/>
  <c r="O62" i="4"/>
  <c r="O65" i="4"/>
  <c r="O70" i="4"/>
  <c r="O75" i="4"/>
  <c r="O71" i="4"/>
  <c r="O72" i="4"/>
  <c r="O73" i="4"/>
  <c r="O76" i="4"/>
  <c r="O77" i="4"/>
  <c r="O88" i="4"/>
  <c r="O78" i="4"/>
  <c r="O79" i="4"/>
  <c r="O80" i="4"/>
  <c r="O81" i="4"/>
  <c r="O82" i="4"/>
  <c r="O83" i="4"/>
  <c r="O84" i="4"/>
  <c r="O85" i="4"/>
  <c r="O86" i="4"/>
  <c r="O87" i="4"/>
  <c r="Q87" i="4"/>
  <c r="Q86" i="4"/>
  <c r="Q85" i="4"/>
  <c r="Q84" i="4"/>
  <c r="Q83" i="4"/>
  <c r="Q82" i="4"/>
  <c r="Q81" i="4"/>
  <c r="Q80" i="4"/>
  <c r="Q79" i="4"/>
  <c r="Q78" i="4"/>
  <c r="Q88" i="4"/>
  <c r="Q77" i="4"/>
  <c r="Q76" i="4"/>
  <c r="Q73" i="4"/>
  <c r="Q72" i="4"/>
  <c r="Q71" i="4"/>
  <c r="Q75" i="4"/>
  <c r="Q70" i="4"/>
  <c r="Q65" i="4"/>
  <c r="Q62" i="4"/>
  <c r="Q64" i="4"/>
  <c r="Q61" i="4"/>
  <c r="Q39" i="4"/>
  <c r="Q60" i="4"/>
  <c r="Q59" i="4"/>
  <c r="Q74" i="4"/>
  <c r="Q31" i="4"/>
  <c r="Q56" i="4"/>
  <c r="Q57" i="4"/>
  <c r="Q55" i="4"/>
  <c r="Q54" i="4"/>
  <c r="Q53" i="4"/>
  <c r="Q52" i="4"/>
  <c r="Q44" i="4"/>
  <c r="Q35" i="4"/>
  <c r="Q69" i="4"/>
  <c r="Q68" i="4"/>
  <c r="Q67" i="4"/>
  <c r="Q66" i="4"/>
  <c r="Q63" i="4"/>
  <c r="Q58" i="4"/>
  <c r="Q51" i="4"/>
  <c r="Q50" i="4"/>
  <c r="Q43" i="4"/>
  <c r="Q37" i="4"/>
  <c r="Q36" i="4"/>
  <c r="Q6" i="4"/>
  <c r="Q49" i="4"/>
  <c r="Q48" i="4"/>
  <c r="Q47" i="4"/>
  <c r="Q46" i="4"/>
  <c r="Q45" i="4"/>
  <c r="Q42" i="4"/>
  <c r="Q41" i="4"/>
  <c r="Q13" i="4"/>
  <c r="Q40" i="4"/>
  <c r="Q38" i="4"/>
  <c r="Q33" i="4"/>
  <c r="Q34" i="4"/>
  <c r="Q7" i="4"/>
  <c r="Q28" i="4"/>
  <c r="Q16" i="4"/>
  <c r="Q12" i="4"/>
  <c r="Q11" i="4"/>
  <c r="Q10" i="4"/>
  <c r="Q9" i="4"/>
  <c r="Q22" i="4"/>
  <c r="Q8" i="4"/>
  <c r="Q14" i="4"/>
  <c r="Q32" i="4"/>
  <c r="Q30" i="4"/>
  <c r="Q29" i="4"/>
  <c r="Q27" i="4"/>
  <c r="Q26" i="4"/>
  <c r="Q25" i="4"/>
  <c r="Q24" i="4"/>
  <c r="Q23" i="4"/>
  <c r="Q21" i="4"/>
  <c r="Q20" i="4"/>
  <c r="Q19" i="4"/>
  <c r="Q18" i="4"/>
  <c r="Q17" i="4"/>
  <c r="Q15" i="4"/>
  <c r="Q4" i="4"/>
  <c r="Q5" i="4"/>
  <c r="Q3" i="4"/>
  <c r="Q30" i="5"/>
  <c r="Q29" i="5"/>
  <c r="Q28" i="5"/>
  <c r="Q5" i="5"/>
  <c r="Q38" i="5"/>
  <c r="Q23" i="5"/>
  <c r="Q51" i="5"/>
  <c r="Q9" i="5"/>
  <c r="Q24" i="5"/>
  <c r="Q12" i="5"/>
  <c r="Q21" i="5"/>
  <c r="Q31" i="5"/>
  <c r="Q32" i="5"/>
  <c r="Q44" i="5"/>
  <c r="Q39" i="5"/>
  <c r="Q61" i="5"/>
  <c r="Q48" i="5"/>
  <c r="Q49" i="5"/>
  <c r="Q50" i="5"/>
  <c r="Q52" i="5"/>
  <c r="Q55" i="5"/>
  <c r="Q78" i="5"/>
  <c r="Q62" i="5"/>
  <c r="Q57" i="5"/>
  <c r="Q58" i="5"/>
  <c r="Q59" i="5"/>
  <c r="Q60" i="5"/>
  <c r="Q65" i="5"/>
  <c r="Q79" i="5"/>
  <c r="Q68" i="5"/>
  <c r="Q69" i="5"/>
  <c r="Q19" i="5"/>
  <c r="Q41" i="5"/>
  <c r="Q42" i="5"/>
  <c r="Q70" i="5"/>
  <c r="Q71" i="5"/>
  <c r="Q72" i="5"/>
  <c r="Q73" i="5"/>
  <c r="Q74" i="5"/>
  <c r="Q75" i="5"/>
  <c r="P30" i="5"/>
  <c r="P28" i="5"/>
  <c r="P5" i="5"/>
  <c r="P38" i="5"/>
  <c r="P23" i="5"/>
  <c r="P17" i="5"/>
  <c r="P51" i="5"/>
  <c r="P9" i="5"/>
  <c r="P12" i="5"/>
  <c r="P21" i="5"/>
  <c r="P31" i="5"/>
  <c r="P32" i="5"/>
  <c r="P44" i="5"/>
  <c r="P11" i="5"/>
  <c r="P39" i="5"/>
  <c r="P61" i="5"/>
  <c r="P48" i="5"/>
  <c r="P49" i="5"/>
  <c r="P50" i="5"/>
  <c r="P55" i="5"/>
  <c r="P78" i="5"/>
  <c r="P62" i="5"/>
  <c r="P58" i="5"/>
  <c r="P59" i="5"/>
  <c r="P60" i="5"/>
  <c r="P63" i="5"/>
  <c r="P65" i="5"/>
  <c r="P79" i="5"/>
  <c r="P68" i="5"/>
  <c r="P69" i="5"/>
  <c r="P19" i="5"/>
  <c r="P41" i="5"/>
  <c r="P70" i="5"/>
  <c r="P71" i="5"/>
  <c r="P72" i="5"/>
  <c r="P73" i="5"/>
  <c r="P74" i="5"/>
  <c r="P75" i="5"/>
  <c r="P77" i="5"/>
  <c r="O30" i="5"/>
  <c r="O28" i="5"/>
  <c r="O5" i="5"/>
  <c r="O17" i="5"/>
  <c r="O18" i="5"/>
  <c r="O51" i="5"/>
  <c r="O9" i="5"/>
  <c r="O12" i="5"/>
  <c r="O21" i="5"/>
  <c r="O31" i="5"/>
  <c r="O44" i="5"/>
  <c r="O11" i="5"/>
  <c r="O45" i="5"/>
  <c r="O46" i="5"/>
  <c r="O39" i="5"/>
  <c r="O61" i="5"/>
  <c r="O48" i="5"/>
  <c r="O49" i="5"/>
  <c r="O50" i="5"/>
  <c r="O55" i="5"/>
  <c r="O78" i="5"/>
  <c r="O62" i="5"/>
  <c r="O57" i="5"/>
  <c r="O58" i="5"/>
  <c r="O59" i="5"/>
  <c r="O60" i="5"/>
  <c r="O63" i="5"/>
  <c r="O64" i="5"/>
  <c r="O65" i="5"/>
  <c r="O79" i="5"/>
  <c r="O68" i="5"/>
  <c r="O69" i="5"/>
  <c r="O19" i="5"/>
  <c r="O41" i="5"/>
  <c r="O70" i="5"/>
  <c r="O71" i="5"/>
  <c r="O72" i="5"/>
  <c r="O73" i="5"/>
  <c r="O74" i="5"/>
  <c r="O75" i="5"/>
  <c r="O77" i="5"/>
  <c r="N75" i="5"/>
  <c r="N60" i="5"/>
  <c r="N59" i="5"/>
  <c r="N62" i="5"/>
  <c r="N20" i="5"/>
  <c r="C80" i="5" a="1"/>
  <c r="C80" i="5" s="1"/>
  <c r="C81" i="5" a="1"/>
  <c r="C81" i="5" s="1"/>
  <c r="C82" i="5" a="1"/>
  <c r="C82" i="5" s="1"/>
  <c r="C83" i="5" a="1"/>
  <c r="C83" i="5" s="1"/>
  <c r="C84" i="5" a="1"/>
  <c r="C84" i="5" s="1"/>
  <c r="C85" i="5" a="1"/>
  <c r="C85" i="5" s="1"/>
  <c r="C86" i="5" a="1"/>
  <c r="C86" i="5" s="1"/>
  <c r="C87" i="5" a="1"/>
  <c r="C87" i="5" s="1"/>
  <c r="C88" i="5" a="1"/>
  <c r="C88" i="5" s="1"/>
  <c r="B80" i="5" a="1"/>
  <c r="B80" i="5" s="1"/>
  <c r="B81" i="5" a="1"/>
  <c r="B81" i="5" s="1"/>
  <c r="B82" i="5" a="1"/>
  <c r="B82" i="5" s="1"/>
  <c r="B83" i="5" a="1"/>
  <c r="B83" i="5" s="1"/>
  <c r="B84" i="5" a="1"/>
  <c r="B84" i="5" s="1"/>
  <c r="B85" i="5" a="1"/>
  <c r="B85" i="5" s="1"/>
  <c r="B86" i="5" a="1"/>
  <c r="B86" i="5" s="1"/>
  <c r="B87" i="5" a="1"/>
  <c r="B87" i="5" s="1"/>
  <c r="B88" i="5" a="1"/>
  <c r="B88" i="5" s="1"/>
  <c r="A2" i="5" a="1"/>
  <c r="A2" i="5" s="1"/>
  <c r="N72" i="5"/>
  <c r="N70" i="5"/>
  <c r="N41" i="5"/>
  <c r="N22" i="5"/>
  <c r="N19" i="5"/>
  <c r="N68" i="5"/>
  <c r="N65" i="5"/>
  <c r="N63" i="5"/>
  <c r="N57" i="5"/>
  <c r="N56" i="5"/>
  <c r="N78" i="5"/>
  <c r="N50" i="5"/>
  <c r="N49" i="5"/>
  <c r="N48" i="5"/>
  <c r="N61" i="5"/>
  <c r="N35" i="5"/>
  <c r="N11" i="5"/>
  <c r="N10" i="5"/>
  <c r="N51" i="5"/>
  <c r="N17" i="5"/>
  <c r="N5" i="5"/>
  <c r="N7" i="5"/>
  <c r="R2" i="4"/>
  <c r="R3" i="4"/>
  <c r="R5" i="4"/>
  <c r="R4" i="4"/>
  <c r="R15" i="4"/>
  <c r="R17" i="4"/>
  <c r="R18" i="4"/>
  <c r="R19" i="4"/>
  <c r="R20" i="4"/>
  <c r="R21" i="4"/>
  <c r="R23" i="4"/>
  <c r="R24" i="4"/>
  <c r="R25" i="4"/>
  <c r="R26" i="4"/>
  <c r="R27" i="4"/>
  <c r="R29" i="4"/>
  <c r="R30" i="4"/>
  <c r="R32" i="4"/>
  <c r="R14" i="4"/>
  <c r="R8" i="4"/>
  <c r="R22" i="4"/>
  <c r="R9" i="4"/>
  <c r="R10" i="4"/>
  <c r="R11" i="4"/>
  <c r="R12" i="4"/>
  <c r="R16" i="4"/>
  <c r="R28" i="4"/>
  <c r="R7" i="4"/>
  <c r="R34" i="4"/>
  <c r="R33" i="4"/>
  <c r="R38" i="4"/>
  <c r="R40" i="4"/>
  <c r="R13" i="4"/>
  <c r="R41" i="4"/>
  <c r="R42" i="4"/>
  <c r="R45" i="4"/>
  <c r="R46" i="4"/>
  <c r="R47" i="4"/>
  <c r="R48" i="4"/>
  <c r="R49" i="4"/>
  <c r="R6" i="4"/>
  <c r="R36" i="4"/>
  <c r="R37" i="4"/>
  <c r="R43" i="4"/>
  <c r="R50" i="4"/>
  <c r="R51" i="4"/>
  <c r="R58" i="4"/>
  <c r="R63" i="4"/>
  <c r="R66" i="4"/>
  <c r="R67" i="4"/>
  <c r="R68" i="4"/>
  <c r="R69" i="4"/>
  <c r="R35" i="4"/>
  <c r="R44" i="4"/>
  <c r="R52" i="4"/>
  <c r="R53" i="4"/>
  <c r="R54" i="4"/>
  <c r="R55" i="4"/>
  <c r="R57" i="4"/>
  <c r="R56" i="4"/>
  <c r="R31" i="4"/>
  <c r="R74" i="4"/>
  <c r="R59" i="4"/>
  <c r="R60" i="4"/>
  <c r="R39" i="4"/>
  <c r="R61" i="4"/>
  <c r="R64" i="4"/>
  <c r="R62" i="4"/>
  <c r="R65" i="4"/>
  <c r="R70" i="4"/>
  <c r="R75" i="4"/>
  <c r="R71" i="4"/>
  <c r="R72" i="4"/>
  <c r="R73" i="4"/>
  <c r="R76" i="4"/>
  <c r="R77" i="4"/>
  <c r="R88" i="4"/>
  <c r="R78" i="4"/>
  <c r="R79" i="4"/>
  <c r="R80" i="4"/>
  <c r="R81" i="4"/>
  <c r="R82" i="4"/>
  <c r="R83" i="4"/>
  <c r="R84" i="4"/>
  <c r="R85" i="4"/>
  <c r="R86" i="4"/>
  <c r="R87" i="4"/>
  <c r="N3" i="4"/>
  <c r="N5" i="4"/>
  <c r="N4" i="4"/>
  <c r="N15" i="4"/>
  <c r="N17" i="4"/>
  <c r="N18" i="4"/>
  <c r="N19" i="4"/>
  <c r="N20" i="4"/>
  <c r="N21" i="4"/>
  <c r="N23" i="4"/>
  <c r="N24" i="4"/>
  <c r="N25" i="4"/>
  <c r="N26" i="4"/>
  <c r="N27" i="4"/>
  <c r="N29" i="4"/>
  <c r="N30" i="4"/>
  <c r="N32" i="4"/>
  <c r="N14" i="4"/>
  <c r="N8" i="4"/>
  <c r="N22" i="4"/>
  <c r="N9" i="4"/>
  <c r="N10" i="4"/>
  <c r="N11" i="4"/>
  <c r="N12" i="4"/>
  <c r="N16" i="4"/>
  <c r="N28" i="4"/>
  <c r="N7" i="4"/>
  <c r="N34" i="4"/>
  <c r="N33" i="4"/>
  <c r="N38" i="4"/>
  <c r="N40" i="4"/>
  <c r="N13" i="4"/>
  <c r="N41" i="4"/>
  <c r="N42" i="4"/>
  <c r="N45" i="4"/>
  <c r="N46" i="4"/>
  <c r="N47" i="4"/>
  <c r="N48" i="4"/>
  <c r="N49" i="4"/>
  <c r="N6" i="4"/>
  <c r="N36" i="4"/>
  <c r="N37" i="4"/>
  <c r="N43" i="4"/>
  <c r="N50" i="4"/>
  <c r="N51" i="4"/>
  <c r="N58" i="4"/>
  <c r="N63" i="4"/>
  <c r="N66" i="4"/>
  <c r="N67" i="4"/>
  <c r="N68" i="4"/>
  <c r="N69" i="4"/>
  <c r="N35" i="4"/>
  <c r="N44" i="4"/>
  <c r="N52" i="4"/>
  <c r="N53" i="4"/>
  <c r="N54" i="4"/>
  <c r="N55" i="4"/>
  <c r="N57" i="4"/>
  <c r="N56" i="4"/>
  <c r="N31" i="4"/>
  <c r="N74" i="4"/>
  <c r="N59" i="4"/>
  <c r="N60" i="4"/>
  <c r="N39" i="4"/>
  <c r="N61" i="4"/>
  <c r="N64" i="4"/>
  <c r="N62" i="4"/>
  <c r="N65" i="4"/>
  <c r="N70" i="4"/>
  <c r="N75" i="4"/>
  <c r="N71" i="4"/>
  <c r="N72" i="4"/>
  <c r="N73" i="4"/>
  <c r="N76" i="4"/>
  <c r="N77" i="4"/>
  <c r="N88" i="4"/>
  <c r="N78" i="4"/>
  <c r="N79" i="4"/>
  <c r="N80" i="4"/>
  <c r="N81" i="4"/>
  <c r="N82" i="4"/>
  <c r="N83" i="4"/>
  <c r="N84" i="4"/>
  <c r="N85" i="4"/>
  <c r="N86" i="4"/>
  <c r="N87" i="4"/>
  <c r="N2" i="4"/>
  <c r="A2" i="4" a="1"/>
  <c r="A2" i="4" s="1"/>
  <c r="B2" i="4" s="1" a="1"/>
  <c r="B2" i="4" s="1"/>
  <c r="O76" i="5" l="1"/>
  <c r="O36" i="5"/>
  <c r="O16" i="5"/>
  <c r="Q56" i="5"/>
  <c r="Q33" i="5"/>
  <c r="Q7" i="5"/>
  <c r="R13" i="5"/>
  <c r="N66" i="5"/>
  <c r="Q3" i="5"/>
  <c r="R27" i="5"/>
  <c r="O23" i="5"/>
  <c r="N6" i="5"/>
  <c r="P56" i="5"/>
  <c r="P33" i="5"/>
  <c r="P7" i="5"/>
  <c r="Q47" i="5"/>
  <c r="Q37" i="5"/>
  <c r="R26" i="5"/>
  <c r="R43" i="5"/>
  <c r="Q53" i="5"/>
  <c r="O7" i="5"/>
  <c r="N47" i="5"/>
  <c r="O37" i="5"/>
  <c r="P42" i="5"/>
  <c r="P52" i="5"/>
  <c r="P24" i="5"/>
  <c r="P29" i="5"/>
  <c r="Q22" i="5"/>
  <c r="Q27" i="5"/>
  <c r="Q34" i="5"/>
  <c r="R67" i="5"/>
  <c r="R15" i="5"/>
  <c r="P16" i="5"/>
  <c r="N31" i="5"/>
  <c r="N73" i="5"/>
  <c r="P22" i="5"/>
  <c r="P27" i="5"/>
  <c r="P34" i="5"/>
  <c r="Q54" i="5"/>
  <c r="Q25" i="5"/>
  <c r="Q20" i="5"/>
  <c r="R46" i="5"/>
  <c r="O56" i="5"/>
  <c r="R6" i="5"/>
  <c r="N33" i="5"/>
  <c r="Q4" i="5"/>
  <c r="R14" i="5"/>
  <c r="P26" i="5"/>
  <c r="N46" i="5"/>
  <c r="N23" i="5"/>
  <c r="O27" i="5"/>
  <c r="O34" i="5"/>
  <c r="P54" i="5"/>
  <c r="P25" i="5"/>
  <c r="P20" i="5"/>
  <c r="Q40" i="5"/>
  <c r="Q8" i="5"/>
  <c r="Q2" i="5"/>
  <c r="R77" i="5"/>
  <c r="R63" i="5"/>
  <c r="R11" i="5"/>
  <c r="R17" i="5"/>
  <c r="P76" i="5"/>
  <c r="O53" i="5"/>
  <c r="Q43" i="5"/>
  <c r="N77" i="5"/>
  <c r="O13" i="5"/>
  <c r="P43" i="5"/>
  <c r="N4" i="5"/>
  <c r="N44" i="5"/>
  <c r="P40" i="5"/>
  <c r="P8" i="5"/>
  <c r="P2" i="5"/>
  <c r="Q66" i="5"/>
  <c r="Q35" i="5"/>
  <c r="Q10" i="5"/>
  <c r="Q15" i="5"/>
  <c r="O33" i="5"/>
  <c r="R66" i="5"/>
  <c r="Q6" i="5"/>
  <c r="P4" i="5"/>
  <c r="R16" i="5"/>
  <c r="P3" i="5"/>
  <c r="P13" i="5"/>
  <c r="Q26" i="5"/>
  <c r="P66" i="5"/>
  <c r="P35" i="5"/>
  <c r="P10" i="5"/>
  <c r="P14" i="5"/>
  <c r="Q64" i="5"/>
  <c r="Q45" i="5"/>
  <c r="Q18" i="5"/>
  <c r="P36" i="5"/>
  <c r="N26" i="5"/>
  <c r="N13" i="5"/>
  <c r="O3" i="5"/>
  <c r="N14" i="5"/>
  <c r="N16" i="5"/>
  <c r="O43" i="5"/>
  <c r="P6" i="5"/>
  <c r="Q67" i="5"/>
  <c r="Q14" i="5"/>
  <c r="R76" i="5"/>
  <c r="R36" i="5"/>
  <c r="N36" i="5"/>
  <c r="P67" i="5"/>
  <c r="O15" i="5"/>
  <c r="P46" i="5"/>
  <c r="N76" i="5"/>
  <c r="N5" i="6"/>
  <c r="N6" i="6"/>
  <c r="N8" i="6"/>
  <c r="B53" i="5" a="1"/>
  <c r="B53" i="5" s="1"/>
  <c r="B27" i="5" a="1"/>
  <c r="B27" i="5" s="1"/>
  <c r="B39" i="5" a="1"/>
  <c r="B39" i="5" s="1"/>
  <c r="B54" i="5" a="1"/>
  <c r="B54" i="5" s="1"/>
  <c r="C2" i="5" a="1"/>
  <c r="C2" i="5" s="1"/>
  <c r="C71" i="5" a="1"/>
  <c r="C71" i="5" s="1"/>
  <c r="C34" i="5" a="1"/>
  <c r="C34" i="5" s="1"/>
  <c r="B14" i="5" a="1"/>
  <c r="B14" i="5" s="1"/>
  <c r="C57" i="5" a="1"/>
  <c r="C57" i="5" s="1"/>
  <c r="C33" i="5" a="1"/>
  <c r="C33" i="5" s="1"/>
  <c r="C43" i="5" a="1"/>
  <c r="C43" i="5" s="1"/>
  <c r="B24" i="5" a="1"/>
  <c r="B24" i="5" s="1"/>
  <c r="C29" i="5" a="1"/>
  <c r="C29" i="5" s="1"/>
  <c r="C6" i="5" a="1"/>
  <c r="C6" i="5" s="1"/>
  <c r="B52" i="5" a="1"/>
  <c r="B52" i="5" s="1"/>
  <c r="E52" i="5" s="1"/>
  <c r="C56" i="5" a="1"/>
  <c r="C56" i="5" s="1"/>
  <c r="C65" i="5" a="1"/>
  <c r="C65" i="5" s="1"/>
  <c r="C52" i="5" a="1"/>
  <c r="C52" i="5" s="1"/>
  <c r="C40" i="5" a="1"/>
  <c r="C40" i="5" s="1"/>
  <c r="C17" i="5" a="1"/>
  <c r="C17" i="5" s="1"/>
  <c r="B13" i="5" a="1"/>
  <c r="B13" i="5" s="1"/>
  <c r="B66" i="5" a="1"/>
  <c r="B66" i="5" s="1"/>
  <c r="C32" i="5" a="1"/>
  <c r="C32" i="5" s="1"/>
  <c r="C16" i="5" a="1"/>
  <c r="C16" i="5" s="1"/>
  <c r="B76" i="5" a="1"/>
  <c r="B76" i="5" s="1"/>
  <c r="B46" i="5" a="1"/>
  <c r="B46" i="5" s="1"/>
  <c r="B19" i="5" a="1"/>
  <c r="B19" i="5" s="1"/>
  <c r="C79" i="5" a="1"/>
  <c r="C79" i="5" s="1"/>
  <c r="C50" i="5" a="1"/>
  <c r="C50" i="5" s="1"/>
  <c r="C27" i="5" a="1"/>
  <c r="C27" i="5" s="1"/>
  <c r="C4" i="5" a="1"/>
  <c r="C4" i="5" s="1"/>
  <c r="B37" i="5" a="1"/>
  <c r="B37" i="5" s="1"/>
  <c r="B10" i="5" a="1"/>
  <c r="B10" i="5" s="1"/>
  <c r="B21" i="5" a="1"/>
  <c r="B21" i="5" s="1"/>
  <c r="C64" i="5" a="1"/>
  <c r="C64" i="5" s="1"/>
  <c r="B77" i="5" a="1"/>
  <c r="B77" i="5" s="1"/>
  <c r="B8" i="5" a="1"/>
  <c r="B8" i="5" s="1"/>
  <c r="C63" i="5" a="1"/>
  <c r="C63" i="5" s="1"/>
  <c r="B75" i="5" a="1"/>
  <c r="B75" i="5" s="1"/>
  <c r="B59" i="5" a="1"/>
  <c r="B59" i="5" s="1"/>
  <c r="B32" i="5" a="1"/>
  <c r="B32" i="5" s="1"/>
  <c r="B7" i="5" a="1"/>
  <c r="B7" i="5" s="1"/>
  <c r="C78" i="5" a="1"/>
  <c r="C78" i="5" s="1"/>
  <c r="C62" i="5" a="1"/>
  <c r="C62" i="5" s="1"/>
  <c r="C38" i="5" a="1"/>
  <c r="C38" i="5" s="1"/>
  <c r="C15" i="5" a="1"/>
  <c r="C15" i="5" s="1"/>
  <c r="C3" i="5" a="1"/>
  <c r="C3" i="5" s="1"/>
  <c r="C67" i="5" a="1"/>
  <c r="C67" i="5" s="1"/>
  <c r="C55" i="5" a="1"/>
  <c r="C55" i="5" s="1"/>
  <c r="C19" i="5" a="1"/>
  <c r="C19" i="5" s="1"/>
  <c r="B64" i="5" a="1"/>
  <c r="B64" i="5" s="1"/>
  <c r="B23" i="5" a="1"/>
  <c r="B23" i="5" s="1"/>
  <c r="B11" i="5" a="1"/>
  <c r="B11" i="5" s="1"/>
  <c r="B36" i="5" a="1"/>
  <c r="B36" i="5" s="1"/>
  <c r="B22" i="5" a="1"/>
  <c r="B22" i="5" s="1"/>
  <c r="B20" i="5" a="1"/>
  <c r="B20" i="5" s="1"/>
  <c r="B60" i="5" a="1"/>
  <c r="B60" i="5" s="1"/>
  <c r="C39" i="5" a="1"/>
  <c r="C39" i="5" s="1"/>
  <c r="B74" i="5" a="1"/>
  <c r="B74" i="5" s="1"/>
  <c r="B58" i="5" a="1"/>
  <c r="B58" i="5" s="1"/>
  <c r="B45" i="5" a="1"/>
  <c r="B45" i="5" s="1"/>
  <c r="B31" i="5" a="1"/>
  <c r="B31" i="5" s="1"/>
  <c r="B18" i="5" a="1"/>
  <c r="B18" i="5" s="1"/>
  <c r="B6" i="5" a="1"/>
  <c r="B6" i="5" s="1"/>
  <c r="C77" i="5" a="1"/>
  <c r="C77" i="5" s="1"/>
  <c r="C61" i="5" a="1"/>
  <c r="C61" i="5" s="1"/>
  <c r="C49" i="5" a="1"/>
  <c r="C49" i="5" s="1"/>
  <c r="C26" i="5" a="1"/>
  <c r="C26" i="5" s="1"/>
  <c r="C14" i="5" a="1"/>
  <c r="C14" i="5" s="1"/>
  <c r="B73" i="5" a="1"/>
  <c r="B73" i="5" s="1"/>
  <c r="B44" i="5" a="1"/>
  <c r="B44" i="5" s="1"/>
  <c r="B30" i="5" a="1"/>
  <c r="B30" i="5" s="1"/>
  <c r="C76" i="5" a="1"/>
  <c r="C76" i="5" s="1"/>
  <c r="C37" i="5" a="1"/>
  <c r="C37" i="5" s="1"/>
  <c r="C13" i="5" a="1"/>
  <c r="C13" i="5" s="1"/>
  <c r="B26" i="5" a="1"/>
  <c r="B26" i="5" s="1"/>
  <c r="C70" i="5" a="1"/>
  <c r="C70" i="5" s="1"/>
  <c r="C45" i="5" a="1"/>
  <c r="C45" i="5" s="1"/>
  <c r="C9" i="5" a="1"/>
  <c r="C9" i="5" s="1"/>
  <c r="C54" i="5" a="1"/>
  <c r="C54" i="5" s="1"/>
  <c r="C42" i="5" a="1"/>
  <c r="C42" i="5" s="1"/>
  <c r="C30" i="5" a="1"/>
  <c r="C30" i="5" s="1"/>
  <c r="C7" i="5" a="1"/>
  <c r="C7" i="5" s="1"/>
  <c r="B63" i="5" a="1"/>
  <c r="B63" i="5" s="1"/>
  <c r="C66" i="5" a="1"/>
  <c r="C66" i="5" s="1"/>
  <c r="C41" i="5" a="1"/>
  <c r="C41" i="5" s="1"/>
  <c r="C18" i="5" a="1"/>
  <c r="C18" i="5" s="1"/>
  <c r="B62" i="5" a="1"/>
  <c r="B62" i="5" s="1"/>
  <c r="B48" i="5" a="1"/>
  <c r="B48" i="5" s="1"/>
  <c r="B35" i="5" a="1"/>
  <c r="B35" i="5" s="1"/>
  <c r="B9" i="5" a="1"/>
  <c r="B9" i="5" s="1"/>
  <c r="C51" i="5" a="1"/>
  <c r="C51" i="5" s="1"/>
  <c r="B47" i="5" a="1"/>
  <c r="B47" i="5" s="1"/>
  <c r="B2" i="5" a="1"/>
  <c r="B2" i="5" s="1"/>
  <c r="D2" i="5" s="1"/>
  <c r="B72" i="5" a="1"/>
  <c r="B72" i="5" s="1"/>
  <c r="B57" i="5" a="1"/>
  <c r="B57" i="5" s="1"/>
  <c r="B43" i="5" a="1"/>
  <c r="B43" i="5" s="1"/>
  <c r="B17" i="5" a="1"/>
  <c r="B17" i="5" s="1"/>
  <c r="B5" i="5" a="1"/>
  <c r="B5" i="5" s="1"/>
  <c r="C75" i="5" a="1"/>
  <c r="C75" i="5" s="1"/>
  <c r="C60" i="5" a="1"/>
  <c r="C60" i="5" s="1"/>
  <c r="C48" i="5" a="1"/>
  <c r="C48" i="5" s="1"/>
  <c r="C25" i="5" a="1"/>
  <c r="C25" i="5" s="1"/>
  <c r="B65" i="5" a="1"/>
  <c r="B65" i="5" s="1"/>
  <c r="B50" i="5" a="1"/>
  <c r="B50" i="5" s="1"/>
  <c r="B71" i="5" a="1"/>
  <c r="B71" i="5" s="1"/>
  <c r="B56" i="5" a="1"/>
  <c r="B56" i="5" s="1"/>
  <c r="B29" i="5" a="1"/>
  <c r="B29" i="5" s="1"/>
  <c r="B16" i="5" a="1"/>
  <c r="B16" i="5" s="1"/>
  <c r="C74" i="5" a="1"/>
  <c r="C74" i="5" s="1"/>
  <c r="C36" i="5" a="1"/>
  <c r="C36" i="5" s="1"/>
  <c r="C24" i="5" a="1"/>
  <c r="C24" i="5" s="1"/>
  <c r="C12" i="5" a="1"/>
  <c r="C12" i="5" s="1"/>
  <c r="C69" i="5" a="1"/>
  <c r="C69" i="5" s="1"/>
  <c r="C44" i="5" a="1"/>
  <c r="C44" i="5" s="1"/>
  <c r="C20" i="5" a="1"/>
  <c r="C20" i="5" s="1"/>
  <c r="B49" i="5" a="1"/>
  <c r="B49" i="5" s="1"/>
  <c r="C53" i="5" a="1"/>
  <c r="C53" i="5" s="1"/>
  <c r="B79" i="5" a="1"/>
  <c r="B79" i="5" s="1"/>
  <c r="B78" i="5" a="1"/>
  <c r="B78" i="5" s="1"/>
  <c r="B61" i="5" a="1"/>
  <c r="B61" i="5" s="1"/>
  <c r="B34" i="5" a="1"/>
  <c r="B34" i="5" s="1"/>
  <c r="C28" i="5" a="1"/>
  <c r="C28" i="5" s="1"/>
  <c r="C5" i="5" a="1"/>
  <c r="C5" i="5" s="1"/>
  <c r="B33" i="5" a="1"/>
  <c r="B33" i="5" s="1"/>
  <c r="B70" i="5" a="1"/>
  <c r="B70" i="5" s="1"/>
  <c r="B42" i="5" a="1"/>
  <c r="B42" i="5" s="1"/>
  <c r="B4" i="5" a="1"/>
  <c r="B4" i="5" s="1"/>
  <c r="C73" i="5" a="1"/>
  <c r="C73" i="5" s="1"/>
  <c r="C59" i="5" a="1"/>
  <c r="C59" i="5" s="1"/>
  <c r="C47" i="5" a="1"/>
  <c r="C47" i="5" s="1"/>
  <c r="C23" i="5" a="1"/>
  <c r="C23" i="5" s="1"/>
  <c r="C11" i="5" a="1"/>
  <c r="C11" i="5" s="1"/>
  <c r="B68" i="5" a="1"/>
  <c r="B68" i="5" s="1"/>
  <c r="B40" i="5" a="1"/>
  <c r="B40" i="5" s="1"/>
  <c r="C58" i="5" a="1"/>
  <c r="C58" i="5" s="1"/>
  <c r="C46" i="5" a="1"/>
  <c r="C46" i="5" s="1"/>
  <c r="C22" i="5" a="1"/>
  <c r="C22" i="5" s="1"/>
  <c r="C10" i="5" a="1"/>
  <c r="C10" i="5" s="1"/>
  <c r="C21" i="5" a="1"/>
  <c r="C21" i="5" s="1"/>
  <c r="B67" i="5" a="1"/>
  <c r="B67" i="5" s="1"/>
  <c r="B51" i="5" a="1"/>
  <c r="B51" i="5" s="1"/>
  <c r="B38" i="5" a="1"/>
  <c r="B38" i="5" s="1"/>
  <c r="B25" i="5" a="1"/>
  <c r="B25" i="5" s="1"/>
  <c r="B12" i="5" a="1"/>
  <c r="B12" i="5" s="1"/>
  <c r="C68" i="5" a="1"/>
  <c r="C68" i="5" s="1"/>
  <c r="C31" i="5" a="1"/>
  <c r="C31" i="5" s="1"/>
  <c r="D31" i="5" s="1"/>
  <c r="C8" i="5" a="1"/>
  <c r="C8" i="5" s="1"/>
  <c r="B69" i="5" a="1"/>
  <c r="B69" i="5" s="1"/>
  <c r="B55" i="5" a="1"/>
  <c r="B55" i="5" s="1"/>
  <c r="B41" i="5" a="1"/>
  <c r="B41" i="5" s="1"/>
  <c r="B28" i="5" a="1"/>
  <c r="B28" i="5" s="1"/>
  <c r="B15" i="5" a="1"/>
  <c r="B15" i="5" s="1"/>
  <c r="B3" i="5" a="1"/>
  <c r="B3" i="5" s="1"/>
  <c r="C72" i="5" a="1"/>
  <c r="C72" i="5" s="1"/>
  <c r="C35" i="5" a="1"/>
  <c r="C35" i="5" s="1"/>
  <c r="N21" i="5"/>
  <c r="N25" i="5"/>
  <c r="N54" i="5"/>
  <c r="N69" i="5"/>
  <c r="N18" i="5"/>
  <c r="N45" i="5"/>
  <c r="N64" i="5"/>
  <c r="N38" i="5"/>
  <c r="N32" i="5"/>
  <c r="N29" i="5"/>
  <c r="N24" i="5"/>
  <c r="N52" i="5"/>
  <c r="N42" i="5"/>
  <c r="N3" i="5"/>
  <c r="N58" i="5"/>
  <c r="N74" i="5"/>
  <c r="N71" i="5"/>
  <c r="N2" i="5"/>
  <c r="N8" i="5"/>
  <c r="N40" i="5"/>
  <c r="N79" i="5"/>
  <c r="N9" i="5"/>
  <c r="N67" i="5"/>
  <c r="N12" i="5"/>
  <c r="N53" i="5"/>
  <c r="N15" i="5"/>
  <c r="N39" i="5"/>
  <c r="N28" i="5"/>
  <c r="N55" i="5"/>
  <c r="C72" i="4" a="1"/>
  <c r="C72" i="4" s="1"/>
  <c r="B13" i="4" a="1"/>
  <c r="B13" i="4" s="1"/>
  <c r="C35" i="4" a="1"/>
  <c r="C35" i="4" s="1"/>
  <c r="B32" i="4" a="1"/>
  <c r="B32" i="4" s="1"/>
  <c r="C73" i="4" a="1"/>
  <c r="C73" i="4" s="1"/>
  <c r="B52" i="4" a="1"/>
  <c r="B52" i="4" s="1"/>
  <c r="C52" i="4" a="1"/>
  <c r="C52" i="4" s="1"/>
  <c r="B71" i="4" a="1"/>
  <c r="B71" i="4" s="1"/>
  <c r="C51" i="4" a="1"/>
  <c r="C51" i="4" s="1"/>
  <c r="B50" i="4" a="1"/>
  <c r="B50" i="4" s="1"/>
  <c r="C70" i="4" a="1"/>
  <c r="C70" i="4" s="1"/>
  <c r="C13" i="4" a="1"/>
  <c r="C13" i="4" s="1"/>
  <c r="B8" i="4" a="1"/>
  <c r="B8" i="4" s="1"/>
  <c r="C48" i="4" a="1"/>
  <c r="C48" i="4" s="1"/>
  <c r="B26" i="4" a="1"/>
  <c r="B26" i="4" s="1"/>
  <c r="C67" i="4" a="1"/>
  <c r="C67" i="4" s="1"/>
  <c r="B25" i="4" a="1"/>
  <c r="B25" i="4" s="1"/>
  <c r="C46" i="4" a="1"/>
  <c r="C46" i="4" s="1"/>
  <c r="B45" i="4" a="1"/>
  <c r="B45" i="4" s="1"/>
  <c r="C10" i="4" a="1"/>
  <c r="C10" i="4" s="1"/>
  <c r="B64" i="4" a="1"/>
  <c r="B64" i="4" s="1"/>
  <c r="B23" i="4" a="1"/>
  <c r="B23" i="4" s="1"/>
  <c r="C64" i="4" a="1"/>
  <c r="C64" i="4" s="1"/>
  <c r="C44" i="4" a="1"/>
  <c r="C44" i="4" s="1"/>
  <c r="C9" i="4" a="1"/>
  <c r="C9" i="4" s="1"/>
  <c r="B63" i="4" a="1"/>
  <c r="B63" i="4" s="1"/>
  <c r="B43" i="4" a="1"/>
  <c r="B43" i="4" s="1"/>
  <c r="B22" i="4" a="1"/>
  <c r="B22" i="4" s="1"/>
  <c r="B4" i="4" a="1"/>
  <c r="B4" i="4" s="1"/>
  <c r="C83" i="4" a="1"/>
  <c r="C83" i="4" s="1"/>
  <c r="C63" i="4" a="1"/>
  <c r="C63" i="4" s="1"/>
  <c r="C43" i="4" a="1"/>
  <c r="C43" i="4" s="1"/>
  <c r="C25" i="4" a="1"/>
  <c r="C25" i="4" s="1"/>
  <c r="C8" i="4" a="1"/>
  <c r="C8" i="4" s="1"/>
  <c r="B62" i="4" a="1"/>
  <c r="B62" i="4" s="1"/>
  <c r="B42" i="4" a="1"/>
  <c r="B42" i="4" s="1"/>
  <c r="B21" i="4" a="1"/>
  <c r="B21" i="4" s="1"/>
  <c r="B3" i="4" a="1"/>
  <c r="B3" i="4" s="1"/>
  <c r="C82" i="4" a="1"/>
  <c r="C82" i="4" s="1"/>
  <c r="C62" i="4" a="1"/>
  <c r="C62" i="4" s="1"/>
  <c r="C42" i="4" a="1"/>
  <c r="C42" i="4" s="1"/>
  <c r="C24" i="4" a="1"/>
  <c r="C24" i="4" s="1"/>
  <c r="C7" i="4" a="1"/>
  <c r="C7" i="4" s="1"/>
  <c r="C80" i="4" a="1"/>
  <c r="C80" i="4" s="1"/>
  <c r="C60" i="4" a="1"/>
  <c r="C60" i="4" s="1"/>
  <c r="C22" i="4" a="1"/>
  <c r="C22" i="4" s="1"/>
  <c r="C5" i="4" a="1"/>
  <c r="C5" i="4" s="1"/>
  <c r="B54" i="4" a="1"/>
  <c r="B54" i="4" s="1"/>
  <c r="C74" i="4" a="1"/>
  <c r="C74" i="4" s="1"/>
  <c r="C34" i="4" a="1"/>
  <c r="C34" i="4" s="1"/>
  <c r="B72" i="4" a="1"/>
  <c r="B72" i="4" s="1"/>
  <c r="E72" i="4" s="1"/>
  <c r="B30" i="4" a="1"/>
  <c r="B30" i="4" s="1"/>
  <c r="B80" i="4" a="1"/>
  <c r="B80" i="4" s="1"/>
  <c r="B69" i="4" a="1"/>
  <c r="B69" i="4" s="1"/>
  <c r="C49" i="4" a="1"/>
  <c r="C49" i="4" s="1"/>
  <c r="C68" i="4" a="1"/>
  <c r="C68" i="4" s="1"/>
  <c r="B67" i="4" a="1"/>
  <c r="B67" i="4" s="1"/>
  <c r="B66" i="4" a="1"/>
  <c r="B66" i="4" s="1"/>
  <c r="B24" i="4" a="1"/>
  <c r="B24" i="4" s="1"/>
  <c r="C6" i="4" a="1"/>
  <c r="C6" i="4" s="1"/>
  <c r="B39" i="4" a="1"/>
  <c r="B39" i="4" s="1"/>
  <c r="C59" i="4" a="1"/>
  <c r="C59" i="4" s="1"/>
  <c r="B78" i="4" a="1"/>
  <c r="B78" i="4" s="1"/>
  <c r="B58" i="4" a="1"/>
  <c r="B58" i="4" s="1"/>
  <c r="B38" i="4" a="1"/>
  <c r="B38" i="4" s="1"/>
  <c r="B17" i="4" a="1"/>
  <c r="B17" i="4" s="1"/>
  <c r="B87" i="4" a="1"/>
  <c r="B87" i="4" s="1"/>
  <c r="C78" i="4" a="1"/>
  <c r="C78" i="4" s="1"/>
  <c r="C58" i="4" a="1"/>
  <c r="C58" i="4" s="1"/>
  <c r="C39" i="4" a="1"/>
  <c r="C39" i="4" s="1"/>
  <c r="C4" i="4" a="1"/>
  <c r="C4" i="4" s="1"/>
  <c r="C54" i="4" a="1"/>
  <c r="C54" i="4" s="1"/>
  <c r="B73" i="4" a="1"/>
  <c r="B73" i="4" s="1"/>
  <c r="C53" i="4" a="1"/>
  <c r="C53" i="4" s="1"/>
  <c r="B31" i="4" a="1"/>
  <c r="B31" i="4" s="1"/>
  <c r="C33" i="4" a="1"/>
  <c r="C33" i="4" s="1"/>
  <c r="B51" i="4" a="1"/>
  <c r="B51" i="4" s="1"/>
  <c r="C71" i="4" a="1"/>
  <c r="C71" i="4" s="1"/>
  <c r="B70" i="4" a="1"/>
  <c r="B70" i="4" s="1"/>
  <c r="C31" i="4" a="1"/>
  <c r="C31" i="4" s="1"/>
  <c r="B28" i="4" a="1"/>
  <c r="B28" i="4" s="1"/>
  <c r="B48" i="4" a="1"/>
  <c r="B48" i="4" s="1"/>
  <c r="C88" i="4" a="1"/>
  <c r="C88" i="4" s="1"/>
  <c r="B47" i="4" a="1"/>
  <c r="B47" i="4" s="1"/>
  <c r="C11" i="4" a="1"/>
  <c r="C11" i="4" s="1"/>
  <c r="C86" i="4" a="1"/>
  <c r="C86" i="4" s="1"/>
  <c r="B65" i="4" a="1"/>
  <c r="B65" i="4" s="1"/>
  <c r="C85" i="4" a="1"/>
  <c r="C85" i="4" s="1"/>
  <c r="C45" i="4" a="1"/>
  <c r="C45" i="4" s="1"/>
  <c r="C84" i="4" a="1"/>
  <c r="C84" i="4" s="1"/>
  <c r="B41" i="4" a="1"/>
  <c r="B41" i="4" s="1"/>
  <c r="C23" i="4" a="1"/>
  <c r="C23" i="4" s="1"/>
  <c r="B60" i="4" a="1"/>
  <c r="B60" i="4" s="1"/>
  <c r="B79" i="4" a="1"/>
  <c r="B79" i="4" s="1"/>
  <c r="B88" i="4" a="1"/>
  <c r="B88" i="4" s="1"/>
  <c r="C40" i="4" a="1"/>
  <c r="C40" i="4" s="1"/>
  <c r="B77" i="4" a="1"/>
  <c r="B77" i="4" s="1"/>
  <c r="B57" i="4" a="1"/>
  <c r="B57" i="4" s="1"/>
  <c r="B37" i="4" a="1"/>
  <c r="B37" i="4" s="1"/>
  <c r="B16" i="4" a="1"/>
  <c r="B16" i="4" s="1"/>
  <c r="B86" i="4" a="1"/>
  <c r="B86" i="4" s="1"/>
  <c r="C77" i="4" a="1"/>
  <c r="C77" i="4" s="1"/>
  <c r="C57" i="4" a="1"/>
  <c r="C57" i="4" s="1"/>
  <c r="C38" i="4" a="1"/>
  <c r="C38" i="4" s="1"/>
  <c r="C20" i="4" a="1"/>
  <c r="C20" i="4" s="1"/>
  <c r="C3" i="4" a="1"/>
  <c r="C3" i="4" s="1"/>
  <c r="B74" i="4" a="1"/>
  <c r="B74" i="4" s="1"/>
  <c r="B84" i="4" a="1"/>
  <c r="B84" i="4" s="1"/>
  <c r="B12" i="4" a="1"/>
  <c r="B12" i="4" s="1"/>
  <c r="C16" i="4" a="1"/>
  <c r="C16" i="4" s="1"/>
  <c r="B11" i="4" a="1"/>
  <c r="B11" i="4" s="1"/>
  <c r="B10" i="4" a="1"/>
  <c r="B10" i="4" s="1"/>
  <c r="C32" i="4" a="1"/>
  <c r="C32" i="4" s="1"/>
  <c r="B29" i="4" a="1"/>
  <c r="B29" i="4" s="1"/>
  <c r="C50" i="4" a="1"/>
  <c r="C50" i="4" s="1"/>
  <c r="B49" i="4" a="1"/>
  <c r="B49" i="4" s="1"/>
  <c r="C69" i="4" a="1"/>
  <c r="C69" i="4" s="1"/>
  <c r="B27" i="4" a="1"/>
  <c r="B27" i="4" s="1"/>
  <c r="C12" i="4" a="1"/>
  <c r="C12" i="4" s="1"/>
  <c r="C87" i="4" a="1"/>
  <c r="C87" i="4" s="1"/>
  <c r="C29" i="4" a="1"/>
  <c r="C29" i="4" s="1"/>
  <c r="B7" i="4" a="1"/>
  <c r="B7" i="4" s="1"/>
  <c r="C28" i="4" a="1"/>
  <c r="C28" i="4" s="1"/>
  <c r="B6" i="4" a="1"/>
  <c r="B6" i="4" s="1"/>
  <c r="C27" i="4" a="1"/>
  <c r="C27" i="4" s="1"/>
  <c r="B5" i="4" a="1"/>
  <c r="B5" i="4" s="1"/>
  <c r="B34" i="4" a="1"/>
  <c r="B34" i="4" s="1"/>
  <c r="C41" i="4" a="1"/>
  <c r="C41" i="4" s="1"/>
  <c r="B40" i="4" a="1"/>
  <c r="B40" i="4" s="1"/>
  <c r="B59" i="4" a="1"/>
  <c r="B59" i="4" s="1"/>
  <c r="E59" i="4" s="1"/>
  <c r="C79" i="4" a="1"/>
  <c r="C79" i="4" s="1"/>
  <c r="C21" i="4" a="1"/>
  <c r="C21" i="4" s="1"/>
  <c r="B76" i="4" a="1"/>
  <c r="B76" i="4" s="1"/>
  <c r="B56" i="4" a="1"/>
  <c r="B56" i="4" s="1"/>
  <c r="B36" i="4" a="1"/>
  <c r="B36" i="4" s="1"/>
  <c r="B15" i="4" a="1"/>
  <c r="B15" i="4" s="1"/>
  <c r="B85" i="4" a="1"/>
  <c r="B85" i="4" s="1"/>
  <c r="C76" i="4" a="1"/>
  <c r="C76" i="4" s="1"/>
  <c r="C56" i="4" a="1"/>
  <c r="C56" i="4" s="1"/>
  <c r="C37" i="4" a="1"/>
  <c r="C37" i="4" s="1"/>
  <c r="C19" i="4" a="1"/>
  <c r="C19" i="4" s="1"/>
  <c r="B33" i="4" a="1"/>
  <c r="B33" i="4" s="1"/>
  <c r="C17" i="4" a="1"/>
  <c r="C17" i="4" s="1"/>
  <c r="B53" i="4" a="1"/>
  <c r="B53" i="4" s="1"/>
  <c r="B83" i="4" a="1"/>
  <c r="B83" i="4" s="1"/>
  <c r="B82" i="4" a="1"/>
  <c r="B82" i="4" s="1"/>
  <c r="C15" i="4" a="1"/>
  <c r="C15" i="4" s="1"/>
  <c r="B81" i="4" a="1"/>
  <c r="B81" i="4" s="1"/>
  <c r="B9" i="4" a="1"/>
  <c r="B9" i="4" s="1"/>
  <c r="C14" i="4" a="1"/>
  <c r="C14" i="4" s="1"/>
  <c r="C2" i="4" a="1"/>
  <c r="C2" i="4" s="1"/>
  <c r="D2" i="4" s="1"/>
  <c r="B68" i="4" a="1"/>
  <c r="B68" i="4" s="1"/>
  <c r="C30" i="4" a="1"/>
  <c r="C30" i="4" s="1"/>
  <c r="C47" i="4" a="1"/>
  <c r="C47" i="4" s="1"/>
  <c r="B46" i="4" a="1"/>
  <c r="B46" i="4" s="1"/>
  <c r="C66" i="4" a="1"/>
  <c r="C66" i="4" s="1"/>
  <c r="C65" i="4" a="1"/>
  <c r="C65" i="4" s="1"/>
  <c r="B44" i="4" a="1"/>
  <c r="B44" i="4" s="1"/>
  <c r="C26" i="4" a="1"/>
  <c r="C26" i="4" s="1"/>
  <c r="E26" i="4" s="1"/>
  <c r="B61" i="4" a="1"/>
  <c r="B61" i="4" s="1"/>
  <c r="B20" i="4" a="1"/>
  <c r="B20" i="4" s="1"/>
  <c r="C81" i="4" a="1"/>
  <c r="C81" i="4" s="1"/>
  <c r="C61" i="4" a="1"/>
  <c r="C61" i="4" s="1"/>
  <c r="B19" i="4" a="1"/>
  <c r="B19" i="4" s="1"/>
  <c r="B18" i="4" a="1"/>
  <c r="B18" i="4" s="1"/>
  <c r="B75" i="4" a="1"/>
  <c r="B75" i="4" s="1"/>
  <c r="B55" i="4" a="1"/>
  <c r="B55" i="4" s="1"/>
  <c r="B35" i="4" a="1"/>
  <c r="B35" i="4" s="1"/>
  <c r="E35" i="4" s="1"/>
  <c r="B14" i="4" a="1"/>
  <c r="B14" i="4" s="1"/>
  <c r="C75" i="4" a="1"/>
  <c r="C75" i="4" s="1"/>
  <c r="C55" i="4" a="1"/>
  <c r="C55" i="4" s="1"/>
  <c r="C36" i="4" a="1"/>
  <c r="C36" i="4" s="1"/>
  <c r="C18" i="4" a="1"/>
  <c r="C18" i="4" s="1"/>
  <c r="G10" i="6" l="1"/>
  <c r="H10" i="6"/>
  <c r="D13" i="5"/>
  <c r="D76" i="5"/>
  <c r="D27" i="5"/>
  <c r="E38" i="5"/>
  <c r="E41" i="5"/>
  <c r="E14" i="5"/>
  <c r="E32" i="4"/>
  <c r="E80" i="4"/>
  <c r="E32" i="5"/>
  <c r="E77" i="5"/>
  <c r="E16" i="5"/>
  <c r="E5" i="5"/>
  <c r="D53" i="5"/>
  <c r="E43" i="5"/>
  <c r="D45" i="5"/>
  <c r="E17" i="5"/>
  <c r="D39" i="5"/>
  <c r="D65" i="5"/>
  <c r="D6" i="5"/>
  <c r="E71" i="5"/>
  <c r="E20" i="5"/>
  <c r="D24" i="5"/>
  <c r="D10" i="5"/>
  <c r="E22" i="5"/>
  <c r="E34" i="5"/>
  <c r="E33" i="5"/>
  <c r="D54" i="5"/>
  <c r="E19" i="4"/>
  <c r="E44" i="4"/>
  <c r="E70" i="4"/>
  <c r="E77" i="4"/>
  <c r="D73" i="5"/>
  <c r="D59" i="5"/>
  <c r="D25" i="5"/>
  <c r="E3" i="5"/>
  <c r="E61" i="5"/>
  <c r="D68" i="5"/>
  <c r="D70" i="5"/>
  <c r="E28" i="5"/>
  <c r="D75" i="5"/>
  <c r="D52" i="5"/>
  <c r="E12" i="5"/>
  <c r="E64" i="5"/>
  <c r="E56" i="5"/>
  <c r="E2" i="5"/>
  <c r="E55" i="5"/>
  <c r="E51" i="5"/>
  <c r="E48" i="5"/>
  <c r="D77" i="5"/>
  <c r="D15" i="5"/>
  <c r="D30" i="5"/>
  <c r="D50" i="5"/>
  <c r="D42" i="5"/>
  <c r="E18" i="5"/>
  <c r="D62" i="5"/>
  <c r="E46" i="5"/>
  <c r="E37" i="5"/>
  <c r="D78" i="5"/>
  <c r="E40" i="5"/>
  <c r="D8" i="5"/>
  <c r="E58" i="5"/>
  <c r="E63" i="5"/>
  <c r="D35" i="5"/>
  <c r="D11" i="5"/>
  <c r="D69" i="5"/>
  <c r="E57" i="5"/>
  <c r="D66" i="5"/>
  <c r="D21" i="5"/>
  <c r="D23" i="5"/>
  <c r="E72" i="5"/>
  <c r="E13" i="5"/>
  <c r="E47" i="5"/>
  <c r="E19" i="5"/>
  <c r="D43" i="5"/>
  <c r="D5" i="5"/>
  <c r="E26" i="5"/>
  <c r="E74" i="5"/>
  <c r="D7" i="5"/>
  <c r="D4" i="5"/>
  <c r="E75" i="5"/>
  <c r="D46" i="5"/>
  <c r="E50" i="5"/>
  <c r="E59" i="5"/>
  <c r="E31" i="5"/>
  <c r="E30" i="5"/>
  <c r="E15" i="5"/>
  <c r="E67" i="5"/>
  <c r="E29" i="5"/>
  <c r="E60" i="5"/>
  <c r="E68" i="5"/>
  <c r="E7" i="5"/>
  <c r="E27" i="5"/>
  <c r="E54" i="5"/>
  <c r="E6" i="5"/>
  <c r="E10" i="5"/>
  <c r="D51" i="5"/>
  <c r="E65" i="5"/>
  <c r="E79" i="5"/>
  <c r="D18" i="5"/>
  <c r="E44" i="5"/>
  <c r="E36" i="5"/>
  <c r="D58" i="5"/>
  <c r="D49" i="5"/>
  <c r="D17" i="5"/>
  <c r="E42" i="5"/>
  <c r="D9" i="5"/>
  <c r="E69" i="5"/>
  <c r="E23" i="5"/>
  <c r="D40" i="5"/>
  <c r="E53" i="5"/>
  <c r="D3" i="5"/>
  <c r="E25" i="5"/>
  <c r="E70" i="5"/>
  <c r="E45" i="5"/>
  <c r="D47" i="5"/>
  <c r="E4" i="5"/>
  <c r="D29" i="5"/>
  <c r="D38" i="5"/>
  <c r="E62" i="5"/>
  <c r="E73" i="5"/>
  <c r="D33" i="5"/>
  <c r="E76" i="5"/>
  <c r="D20" i="5"/>
  <c r="E11" i="5"/>
  <c r="D26" i="5"/>
  <c r="D57" i="5"/>
  <c r="D14" i="5"/>
  <c r="D79" i="5"/>
  <c r="E35" i="5"/>
  <c r="D56" i="5"/>
  <c r="D34" i="5"/>
  <c r="D22" i="5"/>
  <c r="E24" i="5"/>
  <c r="D61" i="5"/>
  <c r="E9" i="5"/>
  <c r="D71" i="5"/>
  <c r="D72" i="5"/>
  <c r="D63" i="5"/>
  <c r="D12" i="5"/>
  <c r="D60" i="5"/>
  <c r="E49" i="5"/>
  <c r="E78" i="5"/>
  <c r="E39" i="5"/>
  <c r="D16" i="5"/>
  <c r="D48" i="5"/>
  <c r="D41" i="5"/>
  <c r="D19" i="5"/>
  <c r="D64" i="5"/>
  <c r="D32" i="5"/>
  <c r="E66" i="5"/>
  <c r="D36" i="5"/>
  <c r="D74" i="5"/>
  <c r="D55" i="5"/>
  <c r="D28" i="5"/>
  <c r="D67" i="5"/>
  <c r="D44" i="5"/>
  <c r="E8" i="5"/>
  <c r="D37" i="5"/>
  <c r="E21" i="5"/>
  <c r="E36" i="4"/>
  <c r="E39" i="4"/>
  <c r="E25" i="4"/>
  <c r="E81" i="4"/>
  <c r="E49" i="4"/>
  <c r="E9" i="4"/>
  <c r="E45" i="4"/>
  <c r="E74" i="4"/>
  <c r="E4" i="4"/>
  <c r="E43" i="4"/>
  <c r="E5" i="4"/>
  <c r="E6" i="4"/>
  <c r="E62" i="4"/>
  <c r="E61" i="4"/>
  <c r="E86" i="4"/>
  <c r="E64" i="4"/>
  <c r="E66" i="4"/>
  <c r="E67" i="4"/>
  <c r="E8" i="4"/>
  <c r="E68" i="4"/>
  <c r="E79" i="4"/>
  <c r="E50" i="4"/>
  <c r="E46" i="4"/>
  <c r="E54" i="4"/>
  <c r="E55" i="4"/>
  <c r="E15" i="4"/>
  <c r="E76" i="4"/>
  <c r="E12" i="4"/>
  <c r="E82" i="4"/>
  <c r="E3" i="4"/>
  <c r="E17" i="4"/>
  <c r="E63" i="4"/>
  <c r="E52" i="4"/>
  <c r="E20" i="4"/>
  <c r="E38" i="4"/>
  <c r="E47" i="4"/>
  <c r="E28" i="4"/>
  <c r="E33" i="4"/>
  <c r="E48" i="4"/>
  <c r="E23" i="4"/>
  <c r="E13" i="4"/>
  <c r="E53" i="4"/>
  <c r="E42" i="4"/>
  <c r="E40" i="4"/>
  <c r="E84" i="4"/>
  <c r="E78" i="4"/>
  <c r="E22" i="4"/>
  <c r="E71" i="4"/>
  <c r="E34" i="4"/>
  <c r="E65" i="4"/>
  <c r="E87" i="4"/>
  <c r="E75" i="4"/>
  <c r="E58" i="4"/>
  <c r="E7" i="4"/>
  <c r="E27" i="4"/>
  <c r="E57" i="4"/>
  <c r="E37" i="4"/>
  <c r="E24" i="4"/>
  <c r="E51" i="4"/>
  <c r="E88" i="4"/>
  <c r="E31" i="4"/>
  <c r="E83" i="4"/>
  <c r="E85" i="4"/>
  <c r="E56" i="4"/>
  <c r="E29" i="4"/>
  <c r="E69" i="4"/>
  <c r="E14" i="4"/>
  <c r="E16" i="4"/>
  <c r="E60" i="4"/>
  <c r="E21" i="4"/>
  <c r="E10" i="4"/>
  <c r="E30" i="4"/>
  <c r="E18" i="4"/>
  <c r="E73" i="4"/>
  <c r="E11" i="4"/>
  <c r="E41" i="4"/>
  <c r="E2" i="4"/>
  <c r="F2" i="4" s="1"/>
  <c r="D37" i="4"/>
  <c r="D70" i="4"/>
  <c r="F70" i="4" s="1"/>
  <c r="D24" i="4"/>
  <c r="D45" i="4"/>
  <c r="D61" i="4"/>
  <c r="D27" i="4"/>
  <c r="D57" i="4"/>
  <c r="D66" i="4"/>
  <c r="D3" i="4"/>
  <c r="D25" i="4"/>
  <c r="D88" i="4"/>
  <c r="D41" i="4"/>
  <c r="D72" i="4"/>
  <c r="F72" i="4" s="1"/>
  <c r="D77" i="4"/>
  <c r="F77" i="4" s="1"/>
  <c r="D73" i="4"/>
  <c r="D11" i="4"/>
  <c r="D4" i="4"/>
  <c r="D21" i="4"/>
  <c r="D81" i="4"/>
  <c r="D84" i="4"/>
  <c r="D54" i="4"/>
  <c r="D22" i="4"/>
  <c r="D71" i="4"/>
  <c r="D44" i="4"/>
  <c r="F44" i="4" s="1"/>
  <c r="D15" i="4"/>
  <c r="D60" i="4"/>
  <c r="D30" i="4"/>
  <c r="D50" i="4"/>
  <c r="D74" i="4"/>
  <c r="D65" i="4"/>
  <c r="D87" i="4"/>
  <c r="D43" i="4"/>
  <c r="D51" i="4"/>
  <c r="D42" i="4"/>
  <c r="D31" i="4"/>
  <c r="D79" i="4"/>
  <c r="D9" i="4"/>
  <c r="D35" i="4"/>
  <c r="F35" i="4" s="1"/>
  <c r="D34" i="4"/>
  <c r="D75" i="4"/>
  <c r="F75" i="4" s="1"/>
  <c r="D82" i="4"/>
  <c r="D5" i="4"/>
  <c r="F5" i="4" s="1"/>
  <c r="D17" i="4"/>
  <c r="F17" i="4" s="1"/>
  <c r="D63" i="4"/>
  <c r="D52" i="4"/>
  <c r="D56" i="4"/>
  <c r="D14" i="4"/>
  <c r="D83" i="4"/>
  <c r="D38" i="4"/>
  <c r="D46" i="4"/>
  <c r="D26" i="4"/>
  <c r="F26" i="4" s="1"/>
  <c r="D80" i="4"/>
  <c r="F80" i="4" s="1"/>
  <c r="D10" i="4"/>
  <c r="D18" i="4"/>
  <c r="D19" i="4"/>
  <c r="F19" i="4" s="1"/>
  <c r="D53" i="4"/>
  <c r="D6" i="4"/>
  <c r="D47" i="4"/>
  <c r="D58" i="4"/>
  <c r="D32" i="4"/>
  <c r="F32" i="4" s="1"/>
  <c r="D85" i="4"/>
  <c r="D49" i="4"/>
  <c r="D36" i="4"/>
  <c r="D29" i="4"/>
  <c r="D76" i="4"/>
  <c r="D8" i="4"/>
  <c r="D59" i="4"/>
  <c r="F59" i="4" s="1"/>
  <c r="D40" i="4"/>
  <c r="D78" i="4"/>
  <c r="D16" i="4"/>
  <c r="D68" i="4"/>
  <c r="D33" i="4"/>
  <c r="D7" i="4"/>
  <c r="D48" i="4"/>
  <c r="D23" i="4"/>
  <c r="D13" i="4"/>
  <c r="D67" i="4"/>
  <c r="D62" i="4"/>
  <c r="F62" i="4" s="1"/>
  <c r="D69" i="4"/>
  <c r="D12" i="4"/>
  <c r="D55" i="4"/>
  <c r="D20" i="4"/>
  <c r="F20" i="4" s="1"/>
  <c r="D86" i="4"/>
  <c r="F86" i="4" s="1"/>
  <c r="D28" i="4"/>
  <c r="D39" i="4"/>
  <c r="F39" i="4" s="1"/>
  <c r="D64" i="4"/>
  <c r="F6" i="4" l="1"/>
  <c r="F49" i="4"/>
  <c r="F84" i="4"/>
  <c r="F78" i="4"/>
  <c r="F12" i="4"/>
  <c r="F25" i="4"/>
  <c r="F36" i="4"/>
  <c r="F55" i="4"/>
  <c r="F9" i="4"/>
  <c r="F71" i="4"/>
  <c r="F24" i="4"/>
  <c r="F82" i="4"/>
  <c r="F81" i="4"/>
  <c r="F87" i="4"/>
  <c r="F15" i="4"/>
  <c r="F67" i="4"/>
  <c r="F4" i="4"/>
  <c r="F74" i="4"/>
  <c r="F33" i="4"/>
  <c r="F8" i="4"/>
  <c r="F60" i="4"/>
  <c r="F43" i="4"/>
  <c r="F76" i="4"/>
  <c r="F29" i="4"/>
  <c r="F63" i="4"/>
  <c r="F45" i="4"/>
  <c r="F37" i="4"/>
  <c r="F66" i="4"/>
  <c r="F64" i="4"/>
  <c r="F61" i="4"/>
  <c r="F28" i="4"/>
  <c r="F47" i="4"/>
  <c r="F21" i="4"/>
  <c r="F79" i="4"/>
  <c r="F53" i="4"/>
  <c r="F13" i="4"/>
  <c r="F65" i="4"/>
  <c r="F50" i="4"/>
  <c r="F54" i="4"/>
  <c r="F69" i="4"/>
  <c r="F23" i="4"/>
  <c r="F48" i="4"/>
  <c r="F42" i="4"/>
  <c r="F68" i="4"/>
  <c r="F46" i="4"/>
  <c r="F40" i="4"/>
  <c r="F41" i="4"/>
  <c r="F38" i="4"/>
  <c r="F3" i="4"/>
  <c r="F14" i="4"/>
  <c r="F30" i="4"/>
  <c r="F57" i="4"/>
  <c r="F27" i="4"/>
  <c r="F52" i="4"/>
  <c r="F22" i="4"/>
  <c r="F58" i="4"/>
  <c r="F34" i="4"/>
  <c r="F31" i="4"/>
  <c r="F73" i="4"/>
  <c r="F18" i="4"/>
  <c r="F7" i="4"/>
  <c r="F10" i="4"/>
  <c r="F51" i="4"/>
  <c r="F85" i="4"/>
  <c r="F11" i="4"/>
  <c r="F56" i="4"/>
  <c r="F88" i="4"/>
  <c r="F16" i="4"/>
  <c r="F83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Steffen Marz</author>
  </authors>
  <commentList>
    <comment ref="O1" authorId="0" shapeId="0" xr:uid="{2DB1F332-07FB-410E-9C9E-11F37FF213ED}">
      <text>
        <r>
          <rPr>
            <b/>
            <sz val="9"/>
            <color indexed="81"/>
            <rFont val="Segoe UI"/>
            <charset val="1"/>
          </rPr>
          <t>Steffen Marz:</t>
        </r>
        <r>
          <rPr>
            <sz val="9"/>
            <color indexed="81"/>
            <rFont val="Segoe UI"/>
            <charset val="1"/>
          </rPr>
          <t xml:space="preserve">
Was misst das?
Die reine Stückzahl-Abweichung zwischen den Krankenhäusern.</t>
        </r>
      </text>
    </comment>
    <comment ref="P1" authorId="0" shapeId="0" xr:uid="{C9BB294A-589D-496F-990D-D7E53D917910}">
      <text>
        <r>
          <rPr>
            <b/>
            <sz val="9"/>
            <color indexed="81"/>
            <rFont val="Segoe UI"/>
            <charset val="1"/>
          </rPr>
          <t>Steffen Marz:</t>
        </r>
        <r>
          <rPr>
            <sz val="9"/>
            <color indexed="81"/>
            <rFont val="Segoe UI"/>
            <charset val="1"/>
          </rPr>
          <t xml:space="preserve">
Was misst das?
Wie groß der Unterschied im Verhältnis zur Größe ist (also „prozentual“).</t>
        </r>
      </text>
    </comment>
    <comment ref="Q1" authorId="0" shapeId="0" xr:uid="{D9E51172-E942-4521-AE04-076CE3B4DF13}">
      <text>
        <r>
          <rPr>
            <b/>
            <sz val="9"/>
            <color indexed="81"/>
            <rFont val="Segoe UI"/>
            <charset val="1"/>
          </rPr>
          <t>Steffen Marz:</t>
        </r>
        <r>
          <rPr>
            <sz val="9"/>
            <color indexed="81"/>
            <rFont val="Segoe UI"/>
            <charset val="1"/>
          </rPr>
          <t xml:space="preserve">
Was misst das?
Wie viel mal höher der größere Wert ist als der kleinere.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Steffen Marz</author>
  </authors>
  <commentList>
    <comment ref="F1" authorId="0" shapeId="0" xr:uid="{7FECB0CB-A8E2-45DD-B8E5-2258C1954D09}">
      <text>
        <r>
          <rPr>
            <b/>
            <sz val="9"/>
            <color indexed="81"/>
            <rFont val="Segoe UI"/>
            <family val="2"/>
          </rPr>
          <t>Steffen Marz:</t>
        </r>
        <r>
          <rPr>
            <sz val="9"/>
            <color indexed="81"/>
            <rFont val="Segoe UI"/>
            <family val="2"/>
          </rPr>
          <t xml:space="preserve">
Für jede Zeile zählt sie, ob dieselbe Art der Leistung (bei gleicher OP-Art + Kategorie) im anderen KH auch vorkommt.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<sst xmlns="http://schemas.openxmlformats.org/spreadsheetml/2006/main" count="2849" uniqueCount="142">
  <si>
    <t>Leistungen (Top 40 der Leistungen je Leistungsart)</t>
  </si>
  <si>
    <t>Art der Leistung</t>
  </si>
  <si>
    <t>Anzahl</t>
  </si>
  <si>
    <t>Kategorie (Labor, Rad, Lunge, EKG)</t>
  </si>
  <si>
    <t>Operationsart</t>
  </si>
  <si>
    <t>KH</t>
  </si>
  <si>
    <t>Bestimmung der Erythrozyten-Verteilungsbreite</t>
  </si>
  <si>
    <t>Laborleistungen</t>
  </si>
  <si>
    <t>Hernie</t>
  </si>
  <si>
    <t>KH 1</t>
  </si>
  <si>
    <t>Thrombozytenzählung</t>
  </si>
  <si>
    <t>Bestimmung des prozentualen Anteils der Leukozyten im Differenzialblutbild</t>
  </si>
  <si>
    <t>Bestimmung von C-reaktivem Protein</t>
  </si>
  <si>
    <t>Prothrombinzeit</t>
  </si>
  <si>
    <t>Kreatininbestimmung</t>
  </si>
  <si>
    <t>gfr/mdrd</t>
  </si>
  <si>
    <t>Chloridbestimmung</t>
  </si>
  <si>
    <t>Kalziumbestimmung albuminkorrigiert</t>
  </si>
  <si>
    <t>Natriumbestimmung im Plasma</t>
  </si>
  <si>
    <t>Kalium-Spiegel im Plasma</t>
  </si>
  <si>
    <t>Alaninaminotransferase-Spiegel im Plasma</t>
  </si>
  <si>
    <t>Bestimmung des Gesamtbilirubins im Plasma</t>
  </si>
  <si>
    <t>alkalische-Phosphatase-Spiegel im Plasma</t>
  </si>
  <si>
    <t>Gammaglutamyltransferasebestimmung im Plasma</t>
  </si>
  <si>
    <t>Aspartattransaminasebestimmung im Plasma</t>
  </si>
  <si>
    <t>Laktatdehydrogenasebestimmung</t>
  </si>
  <si>
    <t>partielle Thromboplastinzeit, aktiviert</t>
  </si>
  <si>
    <t>TSH-Bestimmung im Serum</t>
  </si>
  <si>
    <t>Gesamtproteinbestimmung im Plasma</t>
  </si>
  <si>
    <t>Harnstreifen</t>
  </si>
  <si>
    <t>Amylase-Spiegel im Plasma</t>
  </si>
  <si>
    <t>Albumin-Spiegel im Plasma</t>
  </si>
  <si>
    <t>Lipasebestimmung</t>
  </si>
  <si>
    <t>Fibrinogenbestimmung</t>
  </si>
  <si>
    <t>Blutkörperchenzählung, automatisiert</t>
  </si>
  <si>
    <t>Harnstoffbestimmung im Harn</t>
  </si>
  <si>
    <t>Calculation of international normalized ratio (procedure)</t>
  </si>
  <si>
    <t>Kreatinkinase-Bestimmung</t>
  </si>
  <si>
    <t>Harnsäurebestimmung, Harn</t>
  </si>
  <si>
    <t>Anti-Faktor-Xa-Bestimmung</t>
  </si>
  <si>
    <t>Thrombozytentransfusion</t>
  </si>
  <si>
    <t>Glukosebestimmung, Blut</t>
  </si>
  <si>
    <t>Test am Bett des Patienten</t>
  </si>
  <si>
    <t>Osmolalitätbestimmung, Serum</t>
  </si>
  <si>
    <t>AB0-Blutgruppenbestimmung</t>
  </si>
  <si>
    <t>Blutgruppenantikörper-Screening</t>
  </si>
  <si>
    <t>Harnstatus, Sedimentuntersuchung, zentrifugiert</t>
  </si>
  <si>
    <t>Phosphorbestimmung</t>
  </si>
  <si>
    <t>Rhesus-Blutgruppenbestimmung</t>
  </si>
  <si>
    <t>KH 2</t>
  </si>
  <si>
    <t>Acetylcholinesterasebestimmung</t>
  </si>
  <si>
    <t>freies-T4-Bestimmung im Serum</t>
  </si>
  <si>
    <t>Bestimmung von freiem Triiodthyronin im Serum</t>
  </si>
  <si>
    <t>Hämoglobin-A1c-Bestimmung</t>
  </si>
  <si>
    <t>Bestimmung von konjugiertem Bilirubin im Plasma</t>
  </si>
  <si>
    <t>Bestimmung von unkonjugiertem Bilirubin im Plasma</t>
  </si>
  <si>
    <t>Hämodialyse</t>
  </si>
  <si>
    <t>Blutgruppentypisierung, Rh-Phänotypisierung, großes E</t>
  </si>
  <si>
    <t>Bestimmung des carcinoembryonalen Antigens</t>
  </si>
  <si>
    <t>Triglyceridbestimmung</t>
  </si>
  <si>
    <t>Messung der Konzentration von prostataspezifischem Antigen (psa)</t>
  </si>
  <si>
    <t>High-density-Lipoprotein-Cholesterinbestimmung</t>
  </si>
  <si>
    <t>RÖ: Thorax (Übersichtsaufnahme)</t>
  </si>
  <si>
    <t>Radiologieleistungen</t>
  </si>
  <si>
    <t>CT:</t>
  </si>
  <si>
    <t>CT: Becken</t>
  </si>
  <si>
    <t>CT: Oberbauch</t>
  </si>
  <si>
    <t>US: Niere</t>
  </si>
  <si>
    <t>US: Becken</t>
  </si>
  <si>
    <t>CT: intravenöse Kontrastmittelgabe</t>
  </si>
  <si>
    <t>CT: Harnorgane</t>
  </si>
  <si>
    <t>RÖ: Thorax (lateral)</t>
  </si>
  <si>
    <t>US: Bewegungsapparat</t>
  </si>
  <si>
    <t>US: Oberbauch</t>
  </si>
  <si>
    <t>US: Karotis</t>
  </si>
  <si>
    <t>US: Unterbauch (transabdominell)</t>
  </si>
  <si>
    <t>US: Retroperitoneum</t>
  </si>
  <si>
    <t>CT: Abdomen</t>
  </si>
  <si>
    <t>US: Wirbelarterie</t>
  </si>
  <si>
    <t>US: Restharn</t>
  </si>
  <si>
    <t>US: Echokardiographie</t>
  </si>
  <si>
    <t>RÖ: Sprunggelenk</t>
  </si>
  <si>
    <t>US: männliche Genitale</t>
  </si>
  <si>
    <t>CT: Kopfstruktur</t>
  </si>
  <si>
    <t>US: Abdomen</t>
  </si>
  <si>
    <t>RÖ: Hüfte</t>
  </si>
  <si>
    <t>X-ray consultation (procedure)</t>
  </si>
  <si>
    <t>US: Lymphknoten</t>
  </si>
  <si>
    <t>RÖ: Becken</t>
  </si>
  <si>
    <t>RÖ: Oberschenkel</t>
  </si>
  <si>
    <t>MR: intravenöse Kontrastmittelgabe</t>
  </si>
  <si>
    <t>RÖ: Extremitäten</t>
  </si>
  <si>
    <t>US: Prostata (transrektal)</t>
  </si>
  <si>
    <t>Angio: CT</t>
  </si>
  <si>
    <t>US: (transrektal)</t>
  </si>
  <si>
    <t>US: (mit Doppler)</t>
  </si>
  <si>
    <t>CT: Thorax</t>
  </si>
  <si>
    <t>US: Periphere Gefäße</t>
  </si>
  <si>
    <t>Kategorie</t>
  </si>
  <si>
    <t>Anzahl KH1</t>
  </si>
  <si>
    <t>Anzahl KH2</t>
  </si>
  <si>
    <t>Differenz</t>
  </si>
  <si>
    <t>Durchschnitt</t>
  </si>
  <si>
    <t>Absolute Differenz</t>
  </si>
  <si>
    <t>Relative Differenz</t>
  </si>
  <si>
    <t>Ratio</t>
  </si>
  <si>
    <t>Abstand</t>
  </si>
  <si>
    <t xml:space="preserve">künstlich generierter Datensatz </t>
  </si>
  <si>
    <t>Galle</t>
  </si>
  <si>
    <t>Blutgruppentypisierung, Rh-Phänotypisierung</t>
  </si>
  <si>
    <t>Blutgruppentypisierung</t>
  </si>
  <si>
    <t>Erythrozytenantikörpernachweis</t>
  </si>
  <si>
    <t>Blutgruppentypisierung, Rh-Phänotypisierung, kleines c</t>
  </si>
  <si>
    <t>Durchleuchtung</t>
  </si>
  <si>
    <t>RÖ: Schulter</t>
  </si>
  <si>
    <t>US: Schilddrüse</t>
  </si>
  <si>
    <t>Angio: CT untere Extremität</t>
  </si>
  <si>
    <t>RÖ: Sinus paranasales</t>
  </si>
  <si>
    <t>RÖ: Knie</t>
  </si>
  <si>
    <t>Spirometrie</t>
  </si>
  <si>
    <t>RÖ: Brustkorb</t>
  </si>
  <si>
    <t>MR: Cholangio (MRCP)</t>
  </si>
  <si>
    <t>MR: Abdomen</t>
  </si>
  <si>
    <t>ERCP: Galle</t>
  </si>
  <si>
    <t>MR:</t>
  </si>
  <si>
    <t>US: weibliche Genitale</t>
  </si>
  <si>
    <t>RÖ: Gallengang</t>
  </si>
  <si>
    <t>Nuklear: Schilddrüse</t>
  </si>
  <si>
    <t>AndereKH_Anzahl</t>
  </si>
  <si>
    <t>Summe von Anzahl</t>
  </si>
  <si>
    <t>Spaltenbeschriftungen</t>
  </si>
  <si>
    <t>Zeilenbeschriftungen</t>
  </si>
  <si>
    <t>Gesamtergebnis</t>
  </si>
  <si>
    <t>Summe Laborleistungen KH2</t>
  </si>
  <si>
    <t>Summe Radiologie KH2</t>
  </si>
  <si>
    <t xml:space="preserve">OP </t>
  </si>
  <si>
    <t>unterschiedliche Leistungen KH1</t>
  </si>
  <si>
    <t>Unterschiedliche Leistungen KH2</t>
  </si>
  <si>
    <t>Differenz (KH1 - KH2)</t>
  </si>
  <si>
    <t>nur KH1</t>
  </si>
  <si>
    <t xml:space="preserve">nur KH2 </t>
  </si>
  <si>
    <t>gemeinsam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</si>
</sst>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  <font>
      <b/>
      <sz val="11"/>
      <color theme="0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</fills>
  <borders count="2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4">
    <xf numFmtId="0" fontId="0" fillId="0" borderId="0"/>
    <xf numFmtId="9" fontId="5" fillId="0" borderId="0" applyFont="0" applyFill="0" applyBorder="0" applyAlignment="0" applyProtection="0"/>
    <xf numFmtId="0" fontId="5" fillId="2" borderId="0" applyNumberFormat="0" applyBorder="0" applyAlignment="0" applyProtection="0"/>
    <xf numFmtId="0" fontId="5" fillId="3" borderId="0" applyNumberFormat="0" applyBorder="0" applyAlignment="0" applyProtection="0"/>
  </cellStyleXfs>
  <cellXfs count="38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2" fillId="0" borderId="2" xfId="0" applyFont="1" applyBorder="1"/>
    <xf numFmtId="0" fontId="2" fillId="0" borderId="11" xfId="0" applyFont="1" applyBorder="1"/>
    <xf numFmtId="0" fontId="0" fillId="0" borderId="12" xfId="0" applyBorder="1"/>
    <xf numFmtId="0" fontId="2" fillId="0" borderId="14" xfId="0" applyFont="1" applyBorder="1"/>
    <xf numFmtId="0" fontId="2" fillId="0" borderId="15" xfId="0" applyFont="1" applyBorder="1"/>
    <xf numFmtId="0" fontId="2" fillId="0" borderId="13" xfId="0" applyFont="1" applyBorder="1"/>
    <xf numFmtId="0" fontId="2" fillId="0" borderId="7" xfId="0" applyFont="1" applyBorder="1"/>
    <xf numFmtId="0" fontId="4" fillId="0" borderId="0" xfId="0" applyFont="1"/>
    <xf numFmtId="9" fontId="2" fillId="0" borderId="7" xfId="1" applyFont="1" applyBorder="1"/>
    <xf numFmtId="9" fontId="0" fillId="0" borderId="6" xfId="1" applyFont="1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0" xfId="0" pivotButton="1"/>
    <xf numFmtId="0" fontId="0" fillId="0" borderId="0" xfId="0" applyAlignment="1">
      <alignment horizontal="left" indent="1"/>
    </xf>
    <xf numFmtId="0" fontId="8" fillId="5" borderId="19" xfId="0" applyFont="1" applyFill="1" applyBorder="1"/>
    <xf numFmtId="0" fontId="8" fillId="5" borderId="20" xfId="0" applyFont="1" applyFill="1" applyBorder="1"/>
    <xf numFmtId="0" fontId="8" fillId="5" borderId="21" xfId="0" applyFont="1" applyFill="1" applyBorder="1"/>
    <xf numFmtId="0" fontId="0" fillId="4" borderId="19" xfId="0" applyFill="1" applyBorder="1"/>
    <xf numFmtId="0" fontId="0" fillId="4" borderId="20" xfId="0" applyFill="1" applyBorder="1"/>
    <xf numFmtId="0" fontId="0" fillId="4" borderId="21" xfId="0" applyFill="1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5" fillId="3" borderId="0" xfId="3"/>
    <xf numFmtId="0" fontId="5" fillId="2" borderId="0" xfId="2"/>
  </cellXfs>
  <cellStyles count="4">
    <cellStyle name="40 % - Akzent6" xfId="2" builtinId="51"/>
    <cellStyle name="60 % - Akzent6" xfId="3" builtinId="52"/>
    <cellStyle name="Prozent" xfId="1" builtinId="5"/>
    <cellStyle name="Standard" xfId="0" builtinId="0"/>
  </cellStyles>
  <dxfs count="30"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  <border diagonalUp="0" diagonalDown="0">
        <left style="thin">
          <color indexed="64"/>
        </left>
        <right/>
        <top/>
        <bottom/>
        <vertical/>
        <horizontal/>
      </border>
    </dxf>
    <dxf>
      <numFmt numFmtId="0" formatCode="General"/>
      <border diagonalUp="0" diagonalDown="0">
        <left style="thin">
          <color indexed="64"/>
        </left>
        <right/>
        <top/>
        <bottom/>
        <vertical/>
        <horizontal/>
      </border>
    </dxf>
    <dxf>
      <numFmt numFmtId="0" formatCode="General"/>
      <border diagonalUp="0" diagonalDown="0">
        <left style="thin">
          <color indexed="64"/>
        </left>
        <right/>
        <top/>
        <bottom/>
        <vertical/>
        <horizontal/>
      </border>
    </dxf>
    <dxf>
      <numFmt numFmtId="0" formatCode="General"/>
      <border diagonalUp="0" diagonalDown="0">
        <left style="thin">
          <color indexed="64"/>
        </left>
        <right/>
        <top/>
        <bottom/>
        <vertical/>
        <horizontal/>
      </border>
    </dxf>
    <dxf>
      <numFmt numFmtId="0" formatCode="General"/>
      <border diagonalUp="0" diagonalDown="0">
        <left style="thin">
          <color indexed="64"/>
        </left>
        <right/>
        <top/>
        <bottom/>
        <vertical/>
        <horizontal/>
      </border>
    </dxf>
    <dxf>
      <border diagonalUp="0" diagonalDown="0">
        <left style="thin">
          <color indexed="64"/>
        </left>
        <right/>
        <top/>
        <bottom/>
        <vertical/>
        <horizontal/>
      </border>
    </dxf>
    <dxf>
      <border diagonalUp="0" diagonalDown="0">
        <left style="thin">
          <color indexed="64"/>
        </left>
        <right/>
        <top/>
        <bottom/>
        <vertical/>
        <horizontal/>
      </border>
    </dxf>
    <dxf>
      <border diagonalUp="0" diagonalDown="0">
        <left style="thin">
          <color indexed="64"/>
        </left>
        <right/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  <border diagonalUp="0" diagonalDown="0">
        <left style="thin">
          <color indexed="64"/>
        </left>
        <right/>
        <top/>
        <bottom/>
        <vertical/>
        <horizontal/>
      </border>
    </dxf>
    <dxf>
      <numFmt numFmtId="0" formatCode="General"/>
      <border diagonalUp="0" diagonalDown="0">
        <left style="thin">
          <color indexed="64"/>
        </left>
        <right/>
        <top/>
        <bottom/>
        <vertical/>
        <horizontal/>
      </border>
    </dxf>
    <dxf>
      <border diagonalUp="0" diagonalDown="0">
        <left style="thin">
          <color indexed="64"/>
        </left>
        <right/>
        <top/>
        <bottom/>
        <vertical/>
        <horizontal/>
      </border>
    </dxf>
    <dxf>
      <numFmt numFmtId="0" formatCode="General"/>
      <border diagonalUp="0" diagonalDown="0">
        <left style="thin">
          <color indexed="64"/>
        </left>
        <right/>
        <top/>
        <bottom/>
        <vertical/>
        <horizontal/>
      </border>
    </dxf>
    <dxf>
      <numFmt numFmtId="0" formatCode="General"/>
      <border diagonalUp="0" diagonalDown="0">
        <left style="thin">
          <color indexed="64"/>
        </left>
        <right/>
        <top/>
        <bottom/>
        <vertical/>
        <horizontal/>
      </border>
    </dxf>
    <dxf>
      <border diagonalUp="0" diagonalDown="0">
        <left style="thin">
          <color indexed="64"/>
        </left>
        <right/>
        <top/>
        <bottom/>
        <vertical/>
        <horizontal/>
      </border>
    </dxf>
    <dxf>
      <border diagonalUp="0" diagonalDown="0">
        <left style="thin">
          <color indexed="64"/>
        </left>
        <right/>
        <top/>
        <bottom/>
        <vertical/>
        <horizontal/>
      </border>
    </dxf>
    <dxf>
      <border diagonalUp="0" diagonalDown="0">
        <left style="thin">
          <color indexed="64"/>
        </left>
        <right/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2400"/>
              <a:t>Vergleich</a:t>
            </a:r>
            <a:r>
              <a:rPr lang="de-DE" sz="2400" baseline="0"/>
              <a:t> Hernie KH 1 gegen KH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1.8312151173713816E-2"/>
          <c:y val="5.1793107621208222E-2"/>
          <c:w val="0.98168784882628624"/>
          <c:h val="0.59517379640387402"/>
        </c:manualLayout>
      </c:layout>
      <c:lineChart>
        <c:grouping val="standard"/>
        <c:varyColors val="0"/>
        <c:ser>
          <c:idx val="0"/>
          <c:order val="0"/>
          <c:tx>
            <c:strRef>
              <c:f>'Hernie Übersicht'!$L$1</c:f>
              <c:strCache>
                <c:ptCount val="1"/>
                <c:pt idx="0">
                  <c:v>Anzahl KH1</c:v>
                </c:pt>
              </c:strCache>
            </c:strRef>
          </c:tx>
          <c:spPr>
            <a:ln w="38100" cap="rnd">
              <a:solidFill>
                <a:schemeClr val="accent6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chemeClr val="accent6">
                  <a:lumMod val="50000"/>
                </a:schemeClr>
              </a:solidFill>
              <a:ln w="9525">
                <a:noFill/>
              </a:ln>
              <a:effectLst/>
            </c:spPr>
          </c:marker>
          <c:cat>
            <c:strRef>
              <c:f>'Hernie Übersicht'!$I$2:$I$88</c:f>
              <c:strCache>
                <c:ptCount val="87"/>
                <c:pt idx="0">
                  <c:v>Bestimmung der Erythrozyten-Verteilungsbreite</c:v>
                </c:pt>
                <c:pt idx="1">
                  <c:v>Thrombozytenzählung</c:v>
                </c:pt>
                <c:pt idx="2">
                  <c:v>Bestimmung von C-reaktivem Protein</c:v>
                </c:pt>
                <c:pt idx="3">
                  <c:v>Bestimmung des prozentualen Anteils der Leukozyten im Differenzialblutbild</c:v>
                </c:pt>
                <c:pt idx="4">
                  <c:v>Acetylcholinesterasebestimmung</c:v>
                </c:pt>
                <c:pt idx="5">
                  <c:v>Calculation of international normalized ratio (procedure)</c:v>
                </c:pt>
                <c:pt idx="6">
                  <c:v>Gesamtproteinbestimmung im Plasma</c:v>
                </c:pt>
                <c:pt idx="7">
                  <c:v>Amylase-Spiegel im Plasma</c:v>
                </c:pt>
                <c:pt idx="8">
                  <c:v>Albumin-Spiegel im Plasma</c:v>
                </c:pt>
                <c:pt idx="9">
                  <c:v>Lipasebestimmung</c:v>
                </c:pt>
                <c:pt idx="10">
                  <c:v>Fibrinogenbestimmung</c:v>
                </c:pt>
                <c:pt idx="11">
                  <c:v>Glukosebestimmung, Blut</c:v>
                </c:pt>
                <c:pt idx="12">
                  <c:v>TSH-Bestimmung im Serum</c:v>
                </c:pt>
                <c:pt idx="13">
                  <c:v>Prothrombinzeit</c:v>
                </c:pt>
                <c:pt idx="14">
                  <c:v>Blutkörperchenzählung, automatisiert</c:v>
                </c:pt>
                <c:pt idx="15">
                  <c:v>Kreatininbestimmung</c:v>
                </c:pt>
                <c:pt idx="16">
                  <c:v>gfr/mdrd</c:v>
                </c:pt>
                <c:pt idx="17">
                  <c:v>Chloridbestimmung</c:v>
                </c:pt>
                <c:pt idx="18">
                  <c:v>Kalziumbestimmung albuminkorrigiert</c:v>
                </c:pt>
                <c:pt idx="19">
                  <c:v>Natriumbestimmung im Plasma</c:v>
                </c:pt>
                <c:pt idx="20">
                  <c:v>Harnstreifen</c:v>
                </c:pt>
                <c:pt idx="21">
                  <c:v>Kalium-Spiegel im Plasma</c:v>
                </c:pt>
                <c:pt idx="22">
                  <c:v>Alaninaminotransferase-Spiegel im Plasma</c:v>
                </c:pt>
                <c:pt idx="23">
                  <c:v>Bestimmung des Gesamtbilirubins im Plasma</c:v>
                </c:pt>
                <c:pt idx="24">
                  <c:v>alkalische-Phosphatase-Spiegel im Plasma</c:v>
                </c:pt>
                <c:pt idx="25">
                  <c:v>Gammaglutamyltransferasebestimmung im Plasma</c:v>
                </c:pt>
                <c:pt idx="26">
                  <c:v>Harnstoffbestimmung im Harn</c:v>
                </c:pt>
                <c:pt idx="27">
                  <c:v>Aspartattransaminasebestimmung im Plasma</c:v>
                </c:pt>
                <c:pt idx="28">
                  <c:v>Laktatdehydrogenasebestimmung</c:v>
                </c:pt>
                <c:pt idx="29">
                  <c:v>RÖ: Thorax (lateral)</c:v>
                </c:pt>
                <c:pt idx="30">
                  <c:v>partielle Thromboplastinzeit, aktiviert</c:v>
                </c:pt>
                <c:pt idx="31">
                  <c:v>Harnsäurebestimmung, Harn</c:v>
                </c:pt>
                <c:pt idx="32">
                  <c:v>Kreatinkinase-Bestimmung</c:v>
                </c:pt>
                <c:pt idx="33">
                  <c:v>RÖ: Thorax (Übersichtsaufnahme)</c:v>
                </c:pt>
                <c:pt idx="34">
                  <c:v>freies-T4-Bestimmung im Serum</c:v>
                </c:pt>
                <c:pt idx="35">
                  <c:v>Bestimmung von freiem Triiodthyronin im Serum</c:v>
                </c:pt>
                <c:pt idx="36">
                  <c:v>Anti-Faktor-Xa-Bestimmung</c:v>
                </c:pt>
                <c:pt idx="37">
                  <c:v>US: Unterbauch (transabdominell)</c:v>
                </c:pt>
                <c:pt idx="38">
                  <c:v>Thrombozytentransfusion</c:v>
                </c:pt>
                <c:pt idx="39">
                  <c:v>Test am Bett des Patienten</c:v>
                </c:pt>
                <c:pt idx="40">
                  <c:v>Osmolalitätbestimmung, Serum</c:v>
                </c:pt>
                <c:pt idx="41">
                  <c:v>Hämoglobin-A1c-Bestimmung</c:v>
                </c:pt>
                <c:pt idx="42">
                  <c:v>CT:</c:v>
                </c:pt>
                <c:pt idx="43">
                  <c:v>AB0-Blutgruppenbestimmung</c:v>
                </c:pt>
                <c:pt idx="44">
                  <c:v>Blutgruppenantikörper-Screening</c:v>
                </c:pt>
                <c:pt idx="45">
                  <c:v>Harnstatus, Sedimentuntersuchung, zentrifugiert</c:v>
                </c:pt>
                <c:pt idx="46">
                  <c:v>Phosphorbestimmung</c:v>
                </c:pt>
                <c:pt idx="47">
                  <c:v>Rhesus-Blutgruppenbestimmung</c:v>
                </c:pt>
                <c:pt idx="48">
                  <c:v>Bestimmung von konjugiertem Bilirubin im Plasma</c:v>
                </c:pt>
                <c:pt idx="49">
                  <c:v>Bestimmung von unkonjugiertem Bilirubin im Plasma</c:v>
                </c:pt>
                <c:pt idx="50">
                  <c:v>CT: Becken</c:v>
                </c:pt>
                <c:pt idx="51">
                  <c:v>CT: Oberbauch</c:v>
                </c:pt>
                <c:pt idx="52">
                  <c:v>US: Niere</c:v>
                </c:pt>
                <c:pt idx="53">
                  <c:v>US: Becken</c:v>
                </c:pt>
                <c:pt idx="54">
                  <c:v>CT: Harnorgane</c:v>
                </c:pt>
                <c:pt idx="55">
                  <c:v>CT: intravenöse Kontrastmittelgabe</c:v>
                </c:pt>
                <c:pt idx="56">
                  <c:v>Hämodialyse</c:v>
                </c:pt>
                <c:pt idx="57">
                  <c:v>US: Oberbauch</c:v>
                </c:pt>
                <c:pt idx="58">
                  <c:v>US: Karotis</c:v>
                </c:pt>
                <c:pt idx="59">
                  <c:v>US: Retroperitoneum</c:v>
                </c:pt>
                <c:pt idx="60">
                  <c:v>US: Wirbelarterie</c:v>
                </c:pt>
                <c:pt idx="61">
                  <c:v>Blutgruppentypisierung, Rh-Phänotypisierung, großes E</c:v>
                </c:pt>
                <c:pt idx="62">
                  <c:v>CT: Abdomen</c:v>
                </c:pt>
                <c:pt idx="63">
                  <c:v>US: Restharn</c:v>
                </c:pt>
                <c:pt idx="64">
                  <c:v>Bestimmung des carcinoembryonalen Antigens</c:v>
                </c:pt>
                <c:pt idx="65">
                  <c:v>Triglyceridbestimmung</c:v>
                </c:pt>
                <c:pt idx="66">
                  <c:v>Messung der Konzentration von prostataspezifischem Antigen (psa)</c:v>
                </c:pt>
                <c:pt idx="67">
                  <c:v>High-density-Lipoprotein-Cholesterinbestimmung</c:v>
                </c:pt>
                <c:pt idx="68">
                  <c:v>US: Echokardiographie</c:v>
                </c:pt>
                <c:pt idx="69">
                  <c:v>US: männliche Genitale</c:v>
                </c:pt>
                <c:pt idx="70">
                  <c:v>CT: Kopfstruktur</c:v>
                </c:pt>
                <c:pt idx="71">
                  <c:v>US: Abdomen</c:v>
                </c:pt>
                <c:pt idx="72">
                  <c:v>US: Bewegungsapparat</c:v>
                </c:pt>
                <c:pt idx="73">
                  <c:v>RÖ: Sprunggelenk</c:v>
                </c:pt>
                <c:pt idx="74">
                  <c:v>RÖ: Hüfte</c:v>
                </c:pt>
                <c:pt idx="75">
                  <c:v>X-ray consultation (procedure)</c:v>
                </c:pt>
                <c:pt idx="76">
                  <c:v>RÖ: Becken</c:v>
                </c:pt>
                <c:pt idx="77">
                  <c:v>RÖ: Oberschenkel</c:v>
                </c:pt>
                <c:pt idx="78">
                  <c:v>MR: intravenöse Kontrastmittelgabe</c:v>
                </c:pt>
                <c:pt idx="79">
                  <c:v>RÖ: Extremitäten</c:v>
                </c:pt>
                <c:pt idx="80">
                  <c:v>US: Prostata (transrektal)</c:v>
                </c:pt>
                <c:pt idx="81">
                  <c:v>Angio: CT</c:v>
                </c:pt>
                <c:pt idx="82">
                  <c:v>US: (transrektal)</c:v>
                </c:pt>
                <c:pt idx="83">
                  <c:v>US: (mit Doppler)</c:v>
                </c:pt>
                <c:pt idx="84">
                  <c:v>CT: Thorax</c:v>
                </c:pt>
                <c:pt idx="85">
                  <c:v>US: Periphere Gefäße</c:v>
                </c:pt>
                <c:pt idx="86">
                  <c:v>US: Lymphknoten</c:v>
                </c:pt>
              </c:strCache>
            </c:strRef>
          </c:cat>
          <c:val>
            <c:numRef>
              <c:f>'Hernie Übersicht'!$L$2:$L$88</c:f>
              <c:numCache>
                <c:formatCode>General</c:formatCode>
                <c:ptCount val="87"/>
                <c:pt idx="0">
                  <c:v>220</c:v>
                </c:pt>
                <c:pt idx="1">
                  <c:v>220</c:v>
                </c:pt>
                <c:pt idx="2">
                  <c:v>155</c:v>
                </c:pt>
                <c:pt idx="3">
                  <c:v>175</c:v>
                </c:pt>
                <c:pt idx="4">
                  <c:v>0</c:v>
                </c:pt>
                <c:pt idx="5">
                  <c:v>29</c:v>
                </c:pt>
                <c:pt idx="6">
                  <c:v>65</c:v>
                </c:pt>
                <c:pt idx="7">
                  <c:v>57</c:v>
                </c:pt>
                <c:pt idx="8">
                  <c:v>57</c:v>
                </c:pt>
                <c:pt idx="9">
                  <c:v>57</c:v>
                </c:pt>
                <c:pt idx="10">
                  <c:v>57</c:v>
                </c:pt>
                <c:pt idx="11">
                  <c:v>10</c:v>
                </c:pt>
                <c:pt idx="12">
                  <c:v>66</c:v>
                </c:pt>
                <c:pt idx="13">
                  <c:v>144</c:v>
                </c:pt>
                <c:pt idx="14">
                  <c:v>50</c:v>
                </c:pt>
                <c:pt idx="15">
                  <c:v>114</c:v>
                </c:pt>
                <c:pt idx="16">
                  <c:v>114</c:v>
                </c:pt>
                <c:pt idx="17">
                  <c:v>111</c:v>
                </c:pt>
                <c:pt idx="18">
                  <c:v>111</c:v>
                </c:pt>
                <c:pt idx="19">
                  <c:v>111</c:v>
                </c:pt>
                <c:pt idx="20">
                  <c:v>57</c:v>
                </c:pt>
                <c:pt idx="21">
                  <c:v>102</c:v>
                </c:pt>
                <c:pt idx="22">
                  <c:v>97</c:v>
                </c:pt>
                <c:pt idx="23">
                  <c:v>97</c:v>
                </c:pt>
                <c:pt idx="24">
                  <c:v>97</c:v>
                </c:pt>
                <c:pt idx="25">
                  <c:v>97</c:v>
                </c:pt>
                <c:pt idx="26">
                  <c:v>48</c:v>
                </c:pt>
                <c:pt idx="27">
                  <c:v>94</c:v>
                </c:pt>
                <c:pt idx="28">
                  <c:v>94</c:v>
                </c:pt>
                <c:pt idx="29">
                  <c:v>6</c:v>
                </c:pt>
                <c:pt idx="30">
                  <c:v>73</c:v>
                </c:pt>
                <c:pt idx="31">
                  <c:v>20</c:v>
                </c:pt>
                <c:pt idx="32">
                  <c:v>20</c:v>
                </c:pt>
                <c:pt idx="33">
                  <c:v>16</c:v>
                </c:pt>
                <c:pt idx="34">
                  <c:v>0</c:v>
                </c:pt>
                <c:pt idx="35">
                  <c:v>0</c:v>
                </c:pt>
                <c:pt idx="36">
                  <c:v>11</c:v>
                </c:pt>
                <c:pt idx="37">
                  <c:v>4</c:v>
                </c:pt>
                <c:pt idx="38">
                  <c:v>10</c:v>
                </c:pt>
                <c:pt idx="39">
                  <c:v>10</c:v>
                </c:pt>
                <c:pt idx="40">
                  <c:v>10</c:v>
                </c:pt>
                <c:pt idx="41">
                  <c:v>0</c:v>
                </c:pt>
                <c:pt idx="42">
                  <c:v>12</c:v>
                </c:pt>
                <c:pt idx="43">
                  <c:v>9</c:v>
                </c:pt>
                <c:pt idx="44">
                  <c:v>9</c:v>
                </c:pt>
                <c:pt idx="45">
                  <c:v>9</c:v>
                </c:pt>
                <c:pt idx="46">
                  <c:v>9</c:v>
                </c:pt>
                <c:pt idx="47">
                  <c:v>9</c:v>
                </c:pt>
                <c:pt idx="48">
                  <c:v>0</c:v>
                </c:pt>
                <c:pt idx="49">
                  <c:v>0</c:v>
                </c:pt>
                <c:pt idx="50">
                  <c:v>6</c:v>
                </c:pt>
                <c:pt idx="51">
                  <c:v>6</c:v>
                </c:pt>
                <c:pt idx="52">
                  <c:v>6</c:v>
                </c:pt>
                <c:pt idx="53">
                  <c:v>6</c:v>
                </c:pt>
                <c:pt idx="54">
                  <c:v>6</c:v>
                </c:pt>
                <c:pt idx="55">
                  <c:v>6</c:v>
                </c:pt>
                <c:pt idx="56">
                  <c:v>0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  <c:pt idx="60">
                  <c:v>4</c:v>
                </c:pt>
                <c:pt idx="61">
                  <c:v>0</c:v>
                </c:pt>
                <c:pt idx="62">
                  <c:v>4</c:v>
                </c:pt>
                <c:pt idx="63">
                  <c:v>3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3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6</c:v>
                </c:pt>
                <c:pt idx="73">
                  <c:v>2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0</c:v>
                </c:pt>
                <c:pt idx="85">
                  <c:v>0</c:v>
                </c:pt>
                <c:pt idx="8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E2-4320-897B-FA60BD967F14}"/>
            </c:ext>
          </c:extLst>
        </c:ser>
        <c:ser>
          <c:idx val="1"/>
          <c:order val="1"/>
          <c:tx>
            <c:strRef>
              <c:f>'Hernie Übersicht'!$M$1</c:f>
              <c:strCache>
                <c:ptCount val="1"/>
                <c:pt idx="0">
                  <c:v>Anzahl KH2</c:v>
                </c:pt>
              </c:strCache>
            </c:strRef>
          </c:tx>
          <c:spPr>
            <a:ln w="3810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diamond"/>
            <c:size val="7"/>
            <c:spPr>
              <a:solidFill>
                <a:schemeClr val="accent6">
                  <a:lumMod val="40000"/>
                  <a:lumOff val="6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strRef>
              <c:f>'Hernie Übersicht'!$I$2:$I$88</c:f>
              <c:strCache>
                <c:ptCount val="87"/>
                <c:pt idx="0">
                  <c:v>Bestimmung der Erythrozyten-Verteilungsbreite</c:v>
                </c:pt>
                <c:pt idx="1">
                  <c:v>Thrombozytenzählung</c:v>
                </c:pt>
                <c:pt idx="2">
                  <c:v>Bestimmung von C-reaktivem Protein</c:v>
                </c:pt>
                <c:pt idx="3">
                  <c:v>Bestimmung des prozentualen Anteils der Leukozyten im Differenzialblutbild</c:v>
                </c:pt>
                <c:pt idx="4">
                  <c:v>Acetylcholinesterasebestimmung</c:v>
                </c:pt>
                <c:pt idx="5">
                  <c:v>Calculation of international normalized ratio (procedure)</c:v>
                </c:pt>
                <c:pt idx="6">
                  <c:v>Gesamtproteinbestimmung im Plasma</c:v>
                </c:pt>
                <c:pt idx="7">
                  <c:v>Amylase-Spiegel im Plasma</c:v>
                </c:pt>
                <c:pt idx="8">
                  <c:v>Albumin-Spiegel im Plasma</c:v>
                </c:pt>
                <c:pt idx="9">
                  <c:v>Lipasebestimmung</c:v>
                </c:pt>
                <c:pt idx="10">
                  <c:v>Fibrinogenbestimmung</c:v>
                </c:pt>
                <c:pt idx="11">
                  <c:v>Glukosebestimmung, Blut</c:v>
                </c:pt>
                <c:pt idx="12">
                  <c:v>TSH-Bestimmung im Serum</c:v>
                </c:pt>
                <c:pt idx="13">
                  <c:v>Prothrombinzeit</c:v>
                </c:pt>
                <c:pt idx="14">
                  <c:v>Blutkörperchenzählung, automatisiert</c:v>
                </c:pt>
                <c:pt idx="15">
                  <c:v>Kreatininbestimmung</c:v>
                </c:pt>
                <c:pt idx="16">
                  <c:v>gfr/mdrd</c:v>
                </c:pt>
                <c:pt idx="17">
                  <c:v>Chloridbestimmung</c:v>
                </c:pt>
                <c:pt idx="18">
                  <c:v>Kalziumbestimmung albuminkorrigiert</c:v>
                </c:pt>
                <c:pt idx="19">
                  <c:v>Natriumbestimmung im Plasma</c:v>
                </c:pt>
                <c:pt idx="20">
                  <c:v>Harnstreifen</c:v>
                </c:pt>
                <c:pt idx="21">
                  <c:v>Kalium-Spiegel im Plasma</c:v>
                </c:pt>
                <c:pt idx="22">
                  <c:v>Alaninaminotransferase-Spiegel im Plasma</c:v>
                </c:pt>
                <c:pt idx="23">
                  <c:v>Bestimmung des Gesamtbilirubins im Plasma</c:v>
                </c:pt>
                <c:pt idx="24">
                  <c:v>alkalische-Phosphatase-Spiegel im Plasma</c:v>
                </c:pt>
                <c:pt idx="25">
                  <c:v>Gammaglutamyltransferasebestimmung im Plasma</c:v>
                </c:pt>
                <c:pt idx="26">
                  <c:v>Harnstoffbestimmung im Harn</c:v>
                </c:pt>
                <c:pt idx="27">
                  <c:v>Aspartattransaminasebestimmung im Plasma</c:v>
                </c:pt>
                <c:pt idx="28">
                  <c:v>Laktatdehydrogenasebestimmung</c:v>
                </c:pt>
                <c:pt idx="29">
                  <c:v>RÖ: Thorax (lateral)</c:v>
                </c:pt>
                <c:pt idx="30">
                  <c:v>partielle Thromboplastinzeit, aktiviert</c:v>
                </c:pt>
                <c:pt idx="31">
                  <c:v>Harnsäurebestimmung, Harn</c:v>
                </c:pt>
                <c:pt idx="32">
                  <c:v>Kreatinkinase-Bestimmung</c:v>
                </c:pt>
                <c:pt idx="33">
                  <c:v>RÖ: Thorax (Übersichtsaufnahme)</c:v>
                </c:pt>
                <c:pt idx="34">
                  <c:v>freies-T4-Bestimmung im Serum</c:v>
                </c:pt>
                <c:pt idx="35">
                  <c:v>Bestimmung von freiem Triiodthyronin im Serum</c:v>
                </c:pt>
                <c:pt idx="36">
                  <c:v>Anti-Faktor-Xa-Bestimmung</c:v>
                </c:pt>
                <c:pt idx="37">
                  <c:v>US: Unterbauch (transabdominell)</c:v>
                </c:pt>
                <c:pt idx="38">
                  <c:v>Thrombozytentransfusion</c:v>
                </c:pt>
                <c:pt idx="39">
                  <c:v>Test am Bett des Patienten</c:v>
                </c:pt>
                <c:pt idx="40">
                  <c:v>Osmolalitätbestimmung, Serum</c:v>
                </c:pt>
                <c:pt idx="41">
                  <c:v>Hämoglobin-A1c-Bestimmung</c:v>
                </c:pt>
                <c:pt idx="42">
                  <c:v>CT:</c:v>
                </c:pt>
                <c:pt idx="43">
                  <c:v>AB0-Blutgruppenbestimmung</c:v>
                </c:pt>
                <c:pt idx="44">
                  <c:v>Blutgruppenantikörper-Screening</c:v>
                </c:pt>
                <c:pt idx="45">
                  <c:v>Harnstatus, Sedimentuntersuchung, zentrifugiert</c:v>
                </c:pt>
                <c:pt idx="46">
                  <c:v>Phosphorbestimmung</c:v>
                </c:pt>
                <c:pt idx="47">
                  <c:v>Rhesus-Blutgruppenbestimmung</c:v>
                </c:pt>
                <c:pt idx="48">
                  <c:v>Bestimmung von konjugiertem Bilirubin im Plasma</c:v>
                </c:pt>
                <c:pt idx="49">
                  <c:v>Bestimmung von unkonjugiertem Bilirubin im Plasma</c:v>
                </c:pt>
                <c:pt idx="50">
                  <c:v>CT: Becken</c:v>
                </c:pt>
                <c:pt idx="51">
                  <c:v>CT: Oberbauch</c:v>
                </c:pt>
                <c:pt idx="52">
                  <c:v>US: Niere</c:v>
                </c:pt>
                <c:pt idx="53">
                  <c:v>US: Becken</c:v>
                </c:pt>
                <c:pt idx="54">
                  <c:v>CT: Harnorgane</c:v>
                </c:pt>
                <c:pt idx="55">
                  <c:v>CT: intravenöse Kontrastmittelgabe</c:v>
                </c:pt>
                <c:pt idx="56">
                  <c:v>Hämodialyse</c:v>
                </c:pt>
                <c:pt idx="57">
                  <c:v>US: Oberbauch</c:v>
                </c:pt>
                <c:pt idx="58">
                  <c:v>US: Karotis</c:v>
                </c:pt>
                <c:pt idx="59">
                  <c:v>US: Retroperitoneum</c:v>
                </c:pt>
                <c:pt idx="60">
                  <c:v>US: Wirbelarterie</c:v>
                </c:pt>
                <c:pt idx="61">
                  <c:v>Blutgruppentypisierung, Rh-Phänotypisierung, großes E</c:v>
                </c:pt>
                <c:pt idx="62">
                  <c:v>CT: Abdomen</c:v>
                </c:pt>
                <c:pt idx="63">
                  <c:v>US: Restharn</c:v>
                </c:pt>
                <c:pt idx="64">
                  <c:v>Bestimmung des carcinoembryonalen Antigens</c:v>
                </c:pt>
                <c:pt idx="65">
                  <c:v>Triglyceridbestimmung</c:v>
                </c:pt>
                <c:pt idx="66">
                  <c:v>Messung der Konzentration von prostataspezifischem Antigen (psa)</c:v>
                </c:pt>
                <c:pt idx="67">
                  <c:v>High-density-Lipoprotein-Cholesterinbestimmung</c:v>
                </c:pt>
                <c:pt idx="68">
                  <c:v>US: Echokardiographie</c:v>
                </c:pt>
                <c:pt idx="69">
                  <c:v>US: männliche Genitale</c:v>
                </c:pt>
                <c:pt idx="70">
                  <c:v>CT: Kopfstruktur</c:v>
                </c:pt>
                <c:pt idx="71">
                  <c:v>US: Abdomen</c:v>
                </c:pt>
                <c:pt idx="72">
                  <c:v>US: Bewegungsapparat</c:v>
                </c:pt>
                <c:pt idx="73">
                  <c:v>RÖ: Sprunggelenk</c:v>
                </c:pt>
                <c:pt idx="74">
                  <c:v>RÖ: Hüfte</c:v>
                </c:pt>
                <c:pt idx="75">
                  <c:v>X-ray consultation (procedure)</c:v>
                </c:pt>
                <c:pt idx="76">
                  <c:v>RÖ: Becken</c:v>
                </c:pt>
                <c:pt idx="77">
                  <c:v>RÖ: Oberschenkel</c:v>
                </c:pt>
                <c:pt idx="78">
                  <c:v>MR: intravenöse Kontrastmittelgabe</c:v>
                </c:pt>
                <c:pt idx="79">
                  <c:v>RÖ: Extremitäten</c:v>
                </c:pt>
                <c:pt idx="80">
                  <c:v>US: Prostata (transrektal)</c:v>
                </c:pt>
                <c:pt idx="81">
                  <c:v>Angio: CT</c:v>
                </c:pt>
                <c:pt idx="82">
                  <c:v>US: (transrektal)</c:v>
                </c:pt>
                <c:pt idx="83">
                  <c:v>US: (mit Doppler)</c:v>
                </c:pt>
                <c:pt idx="84">
                  <c:v>CT: Thorax</c:v>
                </c:pt>
                <c:pt idx="85">
                  <c:v>US: Periphere Gefäße</c:v>
                </c:pt>
                <c:pt idx="86">
                  <c:v>US: Lymphknoten</c:v>
                </c:pt>
              </c:strCache>
            </c:strRef>
          </c:cat>
          <c:val>
            <c:numRef>
              <c:f>'Hernie Übersicht'!$M$2:$M$88</c:f>
              <c:numCache>
                <c:formatCode>General</c:formatCode>
                <c:ptCount val="87"/>
                <c:pt idx="0">
                  <c:v>98</c:v>
                </c:pt>
                <c:pt idx="1">
                  <c:v>98</c:v>
                </c:pt>
                <c:pt idx="2">
                  <c:v>72</c:v>
                </c:pt>
                <c:pt idx="3">
                  <c:v>97</c:v>
                </c:pt>
                <c:pt idx="4">
                  <c:v>70</c:v>
                </c:pt>
                <c:pt idx="5">
                  <c:v>95</c:v>
                </c:pt>
                <c:pt idx="6">
                  <c:v>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67</c:v>
                </c:pt>
                <c:pt idx="12">
                  <c:v>13</c:v>
                </c:pt>
                <c:pt idx="13">
                  <c:v>95</c:v>
                </c:pt>
                <c:pt idx="14">
                  <c:v>98</c:v>
                </c:pt>
                <c:pt idx="15">
                  <c:v>72</c:v>
                </c:pt>
                <c:pt idx="16">
                  <c:v>72</c:v>
                </c:pt>
                <c:pt idx="17">
                  <c:v>73</c:v>
                </c:pt>
                <c:pt idx="18">
                  <c:v>73</c:v>
                </c:pt>
                <c:pt idx="19">
                  <c:v>73</c:v>
                </c:pt>
                <c:pt idx="20">
                  <c:v>88</c:v>
                </c:pt>
                <c:pt idx="21">
                  <c:v>74</c:v>
                </c:pt>
                <c:pt idx="22">
                  <c:v>70</c:v>
                </c:pt>
                <c:pt idx="23">
                  <c:v>70</c:v>
                </c:pt>
                <c:pt idx="24">
                  <c:v>70</c:v>
                </c:pt>
                <c:pt idx="25">
                  <c:v>70</c:v>
                </c:pt>
                <c:pt idx="26">
                  <c:v>72</c:v>
                </c:pt>
                <c:pt idx="27">
                  <c:v>72</c:v>
                </c:pt>
                <c:pt idx="28">
                  <c:v>72</c:v>
                </c:pt>
                <c:pt idx="29">
                  <c:v>27</c:v>
                </c:pt>
                <c:pt idx="30">
                  <c:v>93</c:v>
                </c:pt>
                <c:pt idx="31">
                  <c:v>2</c:v>
                </c:pt>
                <c:pt idx="32">
                  <c:v>3</c:v>
                </c:pt>
                <c:pt idx="33">
                  <c:v>29</c:v>
                </c:pt>
                <c:pt idx="34">
                  <c:v>12</c:v>
                </c:pt>
                <c:pt idx="35">
                  <c:v>12</c:v>
                </c:pt>
                <c:pt idx="36">
                  <c:v>0</c:v>
                </c:pt>
                <c:pt idx="37">
                  <c:v>15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10</c:v>
                </c:pt>
                <c:pt idx="42">
                  <c:v>2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8</c:v>
                </c:pt>
                <c:pt idx="49">
                  <c:v>8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</c:v>
                </c:pt>
                <c:pt idx="56">
                  <c:v>4</c:v>
                </c:pt>
                <c:pt idx="57">
                  <c:v>8</c:v>
                </c:pt>
                <c:pt idx="58">
                  <c:v>0</c:v>
                </c:pt>
                <c:pt idx="59">
                  <c:v>8</c:v>
                </c:pt>
                <c:pt idx="60">
                  <c:v>0</c:v>
                </c:pt>
                <c:pt idx="61">
                  <c:v>3</c:v>
                </c:pt>
                <c:pt idx="62">
                  <c:v>1</c:v>
                </c:pt>
                <c:pt idx="63">
                  <c:v>0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1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5</c:v>
                </c:pt>
                <c:pt idx="73">
                  <c:v>1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E2-4320-897B-FA60BD967F14}"/>
            </c:ext>
          </c:extLst>
        </c:ser>
        <c:ser>
          <c:idx val="2"/>
          <c:order val="2"/>
          <c:tx>
            <c:v>plus</c:v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6EE7F8C5-BA3D-4702-8E18-A0DB18E123C8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79E2-4320-897B-FA60BD967F1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ED67447-0572-49E5-8208-A7A74224A133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79E2-4320-897B-FA60BD967F1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D012D78C-F98A-4231-A0B3-5D36E477A282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79E2-4320-897B-FA60BD967F1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54A675B0-9159-4FE6-BDE1-736B61D9DE83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79E2-4320-897B-FA60BD967F1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FB792D76-868E-433E-A780-6EF4D98B13EC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79E2-4320-897B-FA60BD967F14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81EE11AD-FF24-4698-98E5-3DBCBDB0AB5E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79E2-4320-897B-FA60BD967F14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8C674B63-D106-44E9-924C-F753C09C62FD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79E2-4320-897B-FA60BD967F14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6860E391-811C-4EFA-BE96-366F267F7FC0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79E2-4320-897B-FA60BD967F14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AA5208B2-B66D-42CB-9002-742C11284C4E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79E2-4320-897B-FA60BD967F14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1607DC8F-1AF5-474A-8DE5-D9BA4554CE67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79E2-4320-897B-FA60BD967F14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C3C0185B-AD42-433D-B938-6235C3CD52F8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79E2-4320-897B-FA60BD967F14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FED11F62-F0D4-436E-953D-CE050EAB8736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79E2-4320-897B-FA60BD967F14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637C4B01-6529-4EAA-AC9E-222F4592440E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79E2-4320-897B-FA60BD967F14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FE4A98D0-0A90-47D1-8BC9-A0AF251A7F30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79E2-4320-897B-FA60BD967F14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0F0CAD03-F3A3-4A6B-913F-0085C0991F01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79E2-4320-897B-FA60BD967F14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C4B66909-0E99-43F1-9D0B-0AF5C137CB96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79E2-4320-897B-FA60BD967F14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F2FF0C8C-1706-44B4-9EA2-DB103908D569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79E2-4320-897B-FA60BD967F14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41FB675D-93AB-46A6-AD1F-E0F3009550B9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79E2-4320-897B-FA60BD967F14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4E5DE333-D25E-493E-AA95-AEB8519B871C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79E2-4320-897B-FA60BD967F14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47E42B56-CA4B-4B75-AA3F-9FE9BDD237A9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6-79E2-4320-897B-FA60BD967F14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2D7F4AAA-A7BD-4D2D-99E5-8B3A9C6C052E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7-79E2-4320-897B-FA60BD967F14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695D01FD-1B24-41E2-88A7-2322D2024C13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8-79E2-4320-897B-FA60BD967F14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FB85A0A8-56E4-4B52-8805-CC6519E75C0E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9-79E2-4320-897B-FA60BD967F14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0DD8C205-4A08-49C6-ABF0-CC2D70D1ED7E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A-79E2-4320-897B-FA60BD967F14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154C74C8-F279-4A6C-ACAD-C1E7CC7F6DAD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B-79E2-4320-897B-FA60BD967F14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92A57E9E-0C94-4663-8B99-C9BB6A23CC50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C-79E2-4320-897B-FA60BD967F14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89CA48E9-5CC4-419D-95E8-345F99F74844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D-79E2-4320-897B-FA60BD967F14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92733149-1151-4380-B826-D79563D47DE4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E-79E2-4320-897B-FA60BD967F14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56B1B020-034C-486B-AEB3-7E6A6474356F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F-79E2-4320-897B-FA60BD967F14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7F302A80-6FB7-42B3-8788-721B8D9C21B2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0-79E2-4320-897B-FA60BD967F14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80D2BDA4-B312-4F6D-9867-70F3042911E0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1-79E2-4320-897B-FA60BD967F14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61D04677-2094-491F-A05C-C4C923C9DA74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2-79E2-4320-897B-FA60BD967F14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919655E2-7484-41AD-814D-F92FDEC35A14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3-79E2-4320-897B-FA60BD967F14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2B02A1B0-FD9B-4456-BCEA-7ED9D2702011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4-79E2-4320-897B-FA60BD967F14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fld id="{8575E8F0-1A73-4ED3-8510-5C2B2B4B5026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5-79E2-4320-897B-FA60BD967F14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fld id="{1832C6D1-0E94-4F22-8852-8F492CB08CEB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6-79E2-4320-897B-FA60BD967F14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fld id="{7B298701-25C7-4C40-A85B-46D2FFC7AFFB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7-79E2-4320-897B-FA60BD967F14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fld id="{1F3FB5E9-1943-4F95-8198-7F2A239EE52B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8-79E2-4320-897B-FA60BD967F14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fld id="{A01CBC4C-D9E8-45C6-9ECD-475FC2C6E1B7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9-79E2-4320-897B-FA60BD967F14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fld id="{FDA9421A-196E-42DC-A69B-8DDB29C39E69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A-79E2-4320-897B-FA60BD967F14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fld id="{CEAB174C-BD1C-4848-8093-50EE89F34EA6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B-79E2-4320-897B-FA60BD967F14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fld id="{896A94DA-95F9-4955-90C7-D0EB71FC050B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C-79E2-4320-897B-FA60BD967F14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fld id="{46D44516-F9B7-4912-A4E6-5CCF9D1BD1BF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D-79E2-4320-897B-FA60BD967F14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fld id="{A5D42E89-29C7-4767-8907-EF7A9040D4ED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E-79E2-4320-897B-FA60BD967F14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fld id="{693A9999-2588-4E09-BB6B-AE6CE794D8B8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F-79E2-4320-897B-FA60BD967F14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fld id="{6B66D9ED-E969-4199-B8A0-8A06192D32B6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0-79E2-4320-897B-FA60BD967F14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fld id="{8D6B9878-4916-4CDE-92F4-37A9E3168AC3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1-79E2-4320-897B-FA60BD967F14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fld id="{57F3B5E5-D08F-4672-A9E6-51044BAA0FD1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2-79E2-4320-897B-FA60BD967F14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fld id="{354271D4-D655-4AE7-924D-C0D1F5100C21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3-79E2-4320-897B-FA60BD967F14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fld id="{9F835349-D9A8-4223-B526-71478F53E7BE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4-79E2-4320-897B-FA60BD967F14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fld id="{7144A0DA-1736-4CAC-A205-876916D42739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5-79E2-4320-897B-FA60BD967F14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fld id="{7F864AE3-21D3-48F2-8681-63812A01F625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6-79E2-4320-897B-FA60BD967F14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fld id="{8B631977-DB87-4BA5-939B-1F7360A70AE1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7-79E2-4320-897B-FA60BD967F14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fld id="{CCB3462D-6E5F-49E2-9C98-24D4A7118C2B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8-79E2-4320-897B-FA60BD967F14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fld id="{886FF7A7-4877-4486-8E15-1F41AC0CCEC6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9-79E2-4320-897B-FA60BD967F14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fld id="{82C592C6-7AA7-4C42-91DE-1B8493242732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A-79E2-4320-897B-FA60BD967F14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fld id="{12D8510B-0924-4757-B509-97025BD3F666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B-79E2-4320-897B-FA60BD967F14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fld id="{E79B8CCD-4E48-4F88-9A2E-B2F6D5DF5894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C-79E2-4320-897B-FA60BD967F14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fld id="{97849A3D-B459-49F7-B20D-667DB98E47CB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D-79E2-4320-897B-FA60BD967F14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fld id="{46A48AD0-F3B2-43DF-B836-675B3F98FEEC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E-79E2-4320-897B-FA60BD967F14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fld id="{E17A8B0C-E46B-4EA1-937F-638701747489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F-79E2-4320-897B-FA60BD967F14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fld id="{F1EC17DF-AE18-483E-AB93-1F92A50753CB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0-79E2-4320-897B-FA60BD967F14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fld id="{9BD077D4-7A29-4450-A35B-42E61DBBC373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1-79E2-4320-897B-FA60BD967F14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fld id="{795D1CF8-5890-4602-84EB-57B2708919A2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2-79E2-4320-897B-FA60BD967F14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fld id="{736E8E50-5FC6-4A43-8DF2-BF89E987294B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3-79E2-4320-897B-FA60BD967F14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fld id="{C982E410-8B04-498B-BBA3-DF06716EF227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4-79E2-4320-897B-FA60BD967F14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fld id="{420BA66A-88D6-425D-87EA-7EBEDEEFAF87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5-79E2-4320-897B-FA60BD967F14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fld id="{088897F7-CCA1-4CA1-B750-4B4AF1451D1F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6-79E2-4320-897B-FA60BD967F14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fld id="{34EEE2A5-3C06-424B-B21D-486D1C568728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7-79E2-4320-897B-FA60BD967F14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fld id="{490811DF-5F5B-45A4-A787-72F5B1717B85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8-79E2-4320-897B-FA60BD967F14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fld id="{260DF08B-0465-40F0-BE02-58CD0EBAB176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9-79E2-4320-897B-FA60BD967F14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fld id="{39DE7AA1-9B3F-4B03-BED8-4510D5F106C4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A-79E2-4320-897B-FA60BD967F14}"/>
                </c:ext>
              </c:extLst>
            </c:dLbl>
            <c:dLbl>
              <c:idx val="72"/>
              <c:tx>
                <c:rich>
                  <a:bodyPr/>
                  <a:lstStyle/>
                  <a:p>
                    <a:fld id="{9E74D360-2670-418C-8EDE-D9F37E861500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B-79E2-4320-897B-FA60BD967F14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fld id="{37CA990A-50DB-4B50-B6D1-AFD05DF065D5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C-79E2-4320-897B-FA60BD967F14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fld id="{4EC94C05-210F-4DC2-B66C-927B00C5ADED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D-79E2-4320-897B-FA60BD967F14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fld id="{6BF0CA37-0647-4EAA-AAC8-4673805BFD9F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E-79E2-4320-897B-FA60BD967F14}"/>
                </c:ext>
              </c:extLst>
            </c:dLbl>
            <c:dLbl>
              <c:idx val="76"/>
              <c:tx>
                <c:rich>
                  <a:bodyPr/>
                  <a:lstStyle/>
                  <a:p>
                    <a:fld id="{117DDC39-99B6-411C-80FD-C5F7523991D7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F-79E2-4320-897B-FA60BD967F14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fld id="{B0A5BFB0-7FE8-4349-9B30-16BB885A91D8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0-79E2-4320-897B-FA60BD967F14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fld id="{CD80E6DA-C2DB-41C3-ACED-3266E9E9A53B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1-79E2-4320-897B-FA60BD967F14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fld id="{310634D8-39F3-4C0B-9FDE-9A502BBE7C2E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2-79E2-4320-897B-FA60BD967F14}"/>
                </c:ext>
              </c:extLst>
            </c:dLbl>
            <c:dLbl>
              <c:idx val="80"/>
              <c:tx>
                <c:rich>
                  <a:bodyPr/>
                  <a:lstStyle/>
                  <a:p>
                    <a:fld id="{921A92E0-243C-4906-8DCB-1037B101E8A7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3-79E2-4320-897B-FA60BD967F14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fld id="{C9F06DBB-25EB-403E-AC8E-B357D7928164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4-79E2-4320-897B-FA60BD967F14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fld id="{87D5A938-B4D3-464C-A46C-466D686D6865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5-79E2-4320-897B-FA60BD967F14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fld id="{F3B64964-954C-4433-9D34-0360318E0B57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6-79E2-4320-897B-FA60BD967F14}"/>
                </c:ext>
              </c:extLst>
            </c:dLbl>
            <c:dLbl>
              <c:idx val="84"/>
              <c:tx>
                <c:rich>
                  <a:bodyPr/>
                  <a:lstStyle/>
                  <a:p>
                    <a:fld id="{E81F27DF-C908-4F6D-A476-8FCB98AB4579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7-79E2-4320-897B-FA60BD967F14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fld id="{C1C55D7B-E108-4E15-A553-4A605CFDFDE5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8-79E2-4320-897B-FA60BD967F14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fld id="{4DE5EFC5-94AA-4C3E-B9D0-C18C2D1376AF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9-79E2-4320-897B-FA60BD967F14}"/>
                </c:ext>
              </c:extLst>
            </c:dLbl>
            <c:spPr>
              <a:solidFill>
                <a:schemeClr val="bg1">
                  <a:alpha val="47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cust"/>
            <c:noEndCap val="1"/>
            <c:plus>
              <c:numRef>
                <c:f>'Hernie Übersicht'!$R$2:$R$88</c:f>
                <c:numCache>
                  <c:formatCode>General</c:formatCode>
                  <c:ptCount val="87"/>
                  <c:pt idx="0">
                    <c:v>48.800000000000004</c:v>
                  </c:pt>
                  <c:pt idx="1">
                    <c:v>48.800000000000004</c:v>
                  </c:pt>
                  <c:pt idx="2">
                    <c:v>33.200000000000003</c:v>
                  </c:pt>
                  <c:pt idx="3">
                    <c:v>31.200000000000003</c:v>
                  </c:pt>
                  <c:pt idx="4">
                    <c:v>28</c:v>
                  </c:pt>
                  <c:pt idx="5">
                    <c:v>26.400000000000002</c:v>
                  </c:pt>
                  <c:pt idx="6">
                    <c:v>24.8</c:v>
                  </c:pt>
                  <c:pt idx="7">
                    <c:v>22.8</c:v>
                  </c:pt>
                  <c:pt idx="8">
                    <c:v>22.8</c:v>
                  </c:pt>
                  <c:pt idx="9">
                    <c:v>22.8</c:v>
                  </c:pt>
                  <c:pt idx="10">
                    <c:v>22.8</c:v>
                  </c:pt>
                  <c:pt idx="11">
                    <c:v>22.8</c:v>
                  </c:pt>
                  <c:pt idx="12">
                    <c:v>21.200000000000003</c:v>
                  </c:pt>
                  <c:pt idx="13">
                    <c:v>19.600000000000001</c:v>
                  </c:pt>
                  <c:pt idx="14">
                    <c:v>19.200000000000003</c:v>
                  </c:pt>
                  <c:pt idx="15">
                    <c:v>16.8</c:v>
                  </c:pt>
                  <c:pt idx="16">
                    <c:v>16.8</c:v>
                  </c:pt>
                  <c:pt idx="17">
                    <c:v>15.200000000000001</c:v>
                  </c:pt>
                  <c:pt idx="18">
                    <c:v>15.200000000000001</c:v>
                  </c:pt>
                  <c:pt idx="19">
                    <c:v>15.200000000000001</c:v>
                  </c:pt>
                  <c:pt idx="20">
                    <c:v>12.4</c:v>
                  </c:pt>
                  <c:pt idx="21">
                    <c:v>11.200000000000001</c:v>
                  </c:pt>
                  <c:pt idx="22">
                    <c:v>10.8</c:v>
                  </c:pt>
                  <c:pt idx="23">
                    <c:v>10.8</c:v>
                  </c:pt>
                  <c:pt idx="24">
                    <c:v>10.8</c:v>
                  </c:pt>
                  <c:pt idx="25">
                    <c:v>10.8</c:v>
                  </c:pt>
                  <c:pt idx="26">
                    <c:v>9.6000000000000014</c:v>
                  </c:pt>
                  <c:pt idx="27">
                    <c:v>8.8000000000000007</c:v>
                  </c:pt>
                  <c:pt idx="28">
                    <c:v>8.8000000000000007</c:v>
                  </c:pt>
                  <c:pt idx="29">
                    <c:v>8.4</c:v>
                  </c:pt>
                  <c:pt idx="30">
                    <c:v>8</c:v>
                  </c:pt>
                  <c:pt idx="31">
                    <c:v>7.2</c:v>
                  </c:pt>
                  <c:pt idx="32">
                    <c:v>6.8000000000000007</c:v>
                  </c:pt>
                  <c:pt idx="33">
                    <c:v>5.2</c:v>
                  </c:pt>
                  <c:pt idx="34">
                    <c:v>4.8000000000000007</c:v>
                  </c:pt>
                  <c:pt idx="35">
                    <c:v>4.8000000000000007</c:v>
                  </c:pt>
                  <c:pt idx="36">
                    <c:v>4.4000000000000004</c:v>
                  </c:pt>
                  <c:pt idx="37">
                    <c:v>4.4000000000000004</c:v>
                  </c:pt>
                  <c:pt idx="38">
                    <c:v>4</c:v>
                  </c:pt>
                  <c:pt idx="39">
                    <c:v>4</c:v>
                  </c:pt>
                  <c:pt idx="40">
                    <c:v>4</c:v>
                  </c:pt>
                  <c:pt idx="41">
                    <c:v>4</c:v>
                  </c:pt>
                  <c:pt idx="42">
                    <c:v>4</c:v>
                  </c:pt>
                  <c:pt idx="43">
                    <c:v>3.6</c:v>
                  </c:pt>
                  <c:pt idx="44">
                    <c:v>3.6</c:v>
                  </c:pt>
                  <c:pt idx="45">
                    <c:v>3.6</c:v>
                  </c:pt>
                  <c:pt idx="46">
                    <c:v>3.6</c:v>
                  </c:pt>
                  <c:pt idx="47">
                    <c:v>3.6</c:v>
                  </c:pt>
                  <c:pt idx="48">
                    <c:v>3.2</c:v>
                  </c:pt>
                  <c:pt idx="49">
                    <c:v>3.2</c:v>
                  </c:pt>
                  <c:pt idx="50">
                    <c:v>2.4000000000000004</c:v>
                  </c:pt>
                  <c:pt idx="51">
                    <c:v>2.4000000000000004</c:v>
                  </c:pt>
                  <c:pt idx="52">
                    <c:v>2.4000000000000004</c:v>
                  </c:pt>
                  <c:pt idx="53">
                    <c:v>2.4000000000000004</c:v>
                  </c:pt>
                  <c:pt idx="54">
                    <c:v>2.4000000000000004</c:v>
                  </c:pt>
                  <c:pt idx="55">
                    <c:v>2</c:v>
                  </c:pt>
                  <c:pt idx="56">
                    <c:v>1.6</c:v>
                  </c:pt>
                  <c:pt idx="57">
                    <c:v>1.6</c:v>
                  </c:pt>
                  <c:pt idx="58">
                    <c:v>1.6</c:v>
                  </c:pt>
                  <c:pt idx="59">
                    <c:v>1.6</c:v>
                  </c:pt>
                  <c:pt idx="60">
                    <c:v>1.6</c:v>
                  </c:pt>
                  <c:pt idx="61">
                    <c:v>1.2000000000000002</c:v>
                  </c:pt>
                  <c:pt idx="62">
                    <c:v>1.2000000000000002</c:v>
                  </c:pt>
                  <c:pt idx="63">
                    <c:v>1.2000000000000002</c:v>
                  </c:pt>
                  <c:pt idx="64">
                    <c:v>0.8</c:v>
                  </c:pt>
                  <c:pt idx="65">
                    <c:v>0.8</c:v>
                  </c:pt>
                  <c:pt idx="66">
                    <c:v>0.8</c:v>
                  </c:pt>
                  <c:pt idx="67">
                    <c:v>0.8</c:v>
                  </c:pt>
                  <c:pt idx="68">
                    <c:v>0.8</c:v>
                  </c:pt>
                  <c:pt idx="69">
                    <c:v>0.8</c:v>
                  </c:pt>
                  <c:pt idx="70">
                    <c:v>0.8</c:v>
                  </c:pt>
                  <c:pt idx="71">
                    <c:v>0.8</c:v>
                  </c:pt>
                  <c:pt idx="72">
                    <c:v>0.4</c:v>
                  </c:pt>
                  <c:pt idx="73">
                    <c:v>0.4</c:v>
                  </c:pt>
                  <c:pt idx="74">
                    <c:v>0.4</c:v>
                  </c:pt>
                  <c:pt idx="75">
                    <c:v>0.4</c:v>
                  </c:pt>
                  <c:pt idx="76">
                    <c:v>0.4</c:v>
                  </c:pt>
                  <c:pt idx="77">
                    <c:v>0.4</c:v>
                  </c:pt>
                  <c:pt idx="78">
                    <c:v>0.4</c:v>
                  </c:pt>
                  <c:pt idx="79">
                    <c:v>0.4</c:v>
                  </c:pt>
                  <c:pt idx="80">
                    <c:v>0.4</c:v>
                  </c:pt>
                  <c:pt idx="81">
                    <c:v>0.4</c:v>
                  </c:pt>
                  <c:pt idx="82">
                    <c:v>0.4</c:v>
                  </c:pt>
                  <c:pt idx="83">
                    <c:v>0.4</c:v>
                  </c:pt>
                  <c:pt idx="84">
                    <c:v>0.4</c:v>
                  </c:pt>
                  <c:pt idx="85">
                    <c:v>0.4</c:v>
                  </c:pt>
                  <c:pt idx="86">
                    <c:v>0</c:v>
                  </c:pt>
                </c:numCache>
              </c:numRef>
            </c:plus>
            <c:minus>
              <c:numRef>
                <c:f>'Hernie Übersicht'!$R$2:$R$88</c:f>
                <c:numCache>
                  <c:formatCode>General</c:formatCode>
                  <c:ptCount val="87"/>
                  <c:pt idx="0">
                    <c:v>48.800000000000004</c:v>
                  </c:pt>
                  <c:pt idx="1">
                    <c:v>48.800000000000004</c:v>
                  </c:pt>
                  <c:pt idx="2">
                    <c:v>33.200000000000003</c:v>
                  </c:pt>
                  <c:pt idx="3">
                    <c:v>31.200000000000003</c:v>
                  </c:pt>
                  <c:pt idx="4">
                    <c:v>28</c:v>
                  </c:pt>
                  <c:pt idx="5">
                    <c:v>26.400000000000002</c:v>
                  </c:pt>
                  <c:pt idx="6">
                    <c:v>24.8</c:v>
                  </c:pt>
                  <c:pt idx="7">
                    <c:v>22.8</c:v>
                  </c:pt>
                  <c:pt idx="8">
                    <c:v>22.8</c:v>
                  </c:pt>
                  <c:pt idx="9">
                    <c:v>22.8</c:v>
                  </c:pt>
                  <c:pt idx="10">
                    <c:v>22.8</c:v>
                  </c:pt>
                  <c:pt idx="11">
                    <c:v>22.8</c:v>
                  </c:pt>
                  <c:pt idx="12">
                    <c:v>21.200000000000003</c:v>
                  </c:pt>
                  <c:pt idx="13">
                    <c:v>19.600000000000001</c:v>
                  </c:pt>
                  <c:pt idx="14">
                    <c:v>19.200000000000003</c:v>
                  </c:pt>
                  <c:pt idx="15">
                    <c:v>16.8</c:v>
                  </c:pt>
                  <c:pt idx="16">
                    <c:v>16.8</c:v>
                  </c:pt>
                  <c:pt idx="17">
                    <c:v>15.200000000000001</c:v>
                  </c:pt>
                  <c:pt idx="18">
                    <c:v>15.200000000000001</c:v>
                  </c:pt>
                  <c:pt idx="19">
                    <c:v>15.200000000000001</c:v>
                  </c:pt>
                  <c:pt idx="20">
                    <c:v>12.4</c:v>
                  </c:pt>
                  <c:pt idx="21">
                    <c:v>11.200000000000001</c:v>
                  </c:pt>
                  <c:pt idx="22">
                    <c:v>10.8</c:v>
                  </c:pt>
                  <c:pt idx="23">
                    <c:v>10.8</c:v>
                  </c:pt>
                  <c:pt idx="24">
                    <c:v>10.8</c:v>
                  </c:pt>
                  <c:pt idx="25">
                    <c:v>10.8</c:v>
                  </c:pt>
                  <c:pt idx="26">
                    <c:v>9.6000000000000014</c:v>
                  </c:pt>
                  <c:pt idx="27">
                    <c:v>8.8000000000000007</c:v>
                  </c:pt>
                  <c:pt idx="28">
                    <c:v>8.8000000000000007</c:v>
                  </c:pt>
                  <c:pt idx="29">
                    <c:v>8.4</c:v>
                  </c:pt>
                  <c:pt idx="30">
                    <c:v>8</c:v>
                  </c:pt>
                  <c:pt idx="31">
                    <c:v>7.2</c:v>
                  </c:pt>
                  <c:pt idx="32">
                    <c:v>6.8000000000000007</c:v>
                  </c:pt>
                  <c:pt idx="33">
                    <c:v>5.2</c:v>
                  </c:pt>
                  <c:pt idx="34">
                    <c:v>4.8000000000000007</c:v>
                  </c:pt>
                  <c:pt idx="35">
                    <c:v>4.8000000000000007</c:v>
                  </c:pt>
                  <c:pt idx="36">
                    <c:v>4.4000000000000004</c:v>
                  </c:pt>
                  <c:pt idx="37">
                    <c:v>4.4000000000000004</c:v>
                  </c:pt>
                  <c:pt idx="38">
                    <c:v>4</c:v>
                  </c:pt>
                  <c:pt idx="39">
                    <c:v>4</c:v>
                  </c:pt>
                  <c:pt idx="40">
                    <c:v>4</c:v>
                  </c:pt>
                  <c:pt idx="41">
                    <c:v>4</c:v>
                  </c:pt>
                  <c:pt idx="42">
                    <c:v>4</c:v>
                  </c:pt>
                  <c:pt idx="43">
                    <c:v>3.6</c:v>
                  </c:pt>
                  <c:pt idx="44">
                    <c:v>3.6</c:v>
                  </c:pt>
                  <c:pt idx="45">
                    <c:v>3.6</c:v>
                  </c:pt>
                  <c:pt idx="46">
                    <c:v>3.6</c:v>
                  </c:pt>
                  <c:pt idx="47">
                    <c:v>3.6</c:v>
                  </c:pt>
                  <c:pt idx="48">
                    <c:v>3.2</c:v>
                  </c:pt>
                  <c:pt idx="49">
                    <c:v>3.2</c:v>
                  </c:pt>
                  <c:pt idx="50">
                    <c:v>2.4000000000000004</c:v>
                  </c:pt>
                  <c:pt idx="51">
                    <c:v>2.4000000000000004</c:v>
                  </c:pt>
                  <c:pt idx="52">
                    <c:v>2.4000000000000004</c:v>
                  </c:pt>
                  <c:pt idx="53">
                    <c:v>2.4000000000000004</c:v>
                  </c:pt>
                  <c:pt idx="54">
                    <c:v>2.4000000000000004</c:v>
                  </c:pt>
                  <c:pt idx="55">
                    <c:v>2</c:v>
                  </c:pt>
                  <c:pt idx="56">
                    <c:v>1.6</c:v>
                  </c:pt>
                  <c:pt idx="57">
                    <c:v>1.6</c:v>
                  </c:pt>
                  <c:pt idx="58">
                    <c:v>1.6</c:v>
                  </c:pt>
                  <c:pt idx="59">
                    <c:v>1.6</c:v>
                  </c:pt>
                  <c:pt idx="60">
                    <c:v>1.6</c:v>
                  </c:pt>
                  <c:pt idx="61">
                    <c:v>1.2000000000000002</c:v>
                  </c:pt>
                  <c:pt idx="62">
                    <c:v>1.2000000000000002</c:v>
                  </c:pt>
                  <c:pt idx="63">
                    <c:v>1.2000000000000002</c:v>
                  </c:pt>
                  <c:pt idx="64">
                    <c:v>0.8</c:v>
                  </c:pt>
                  <c:pt idx="65">
                    <c:v>0.8</c:v>
                  </c:pt>
                  <c:pt idx="66">
                    <c:v>0.8</c:v>
                  </c:pt>
                  <c:pt idx="67">
                    <c:v>0.8</c:v>
                  </c:pt>
                  <c:pt idx="68">
                    <c:v>0.8</c:v>
                  </c:pt>
                  <c:pt idx="69">
                    <c:v>0.8</c:v>
                  </c:pt>
                  <c:pt idx="70">
                    <c:v>0.8</c:v>
                  </c:pt>
                  <c:pt idx="71">
                    <c:v>0.8</c:v>
                  </c:pt>
                  <c:pt idx="72">
                    <c:v>0.4</c:v>
                  </c:pt>
                  <c:pt idx="73">
                    <c:v>0.4</c:v>
                  </c:pt>
                  <c:pt idx="74">
                    <c:v>0.4</c:v>
                  </c:pt>
                  <c:pt idx="75">
                    <c:v>0.4</c:v>
                  </c:pt>
                  <c:pt idx="76">
                    <c:v>0.4</c:v>
                  </c:pt>
                  <c:pt idx="77">
                    <c:v>0.4</c:v>
                  </c:pt>
                  <c:pt idx="78">
                    <c:v>0.4</c:v>
                  </c:pt>
                  <c:pt idx="79">
                    <c:v>0.4</c:v>
                  </c:pt>
                  <c:pt idx="80">
                    <c:v>0.4</c:v>
                  </c:pt>
                  <c:pt idx="81">
                    <c:v>0.4</c:v>
                  </c:pt>
                  <c:pt idx="82">
                    <c:v>0.4</c:v>
                  </c:pt>
                  <c:pt idx="83">
                    <c:v>0.4</c:v>
                  </c:pt>
                  <c:pt idx="84">
                    <c:v>0.4</c:v>
                  </c:pt>
                  <c:pt idx="85">
                    <c:v>0.4</c:v>
                  </c:pt>
                  <c:pt idx="86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  <a:tailEnd type="triangle" w="med" len="lg"/>
              </a:ln>
              <a:effectLst/>
            </c:spPr>
          </c:errBars>
          <c:cat>
            <c:strRef>
              <c:f>'Hernie Übersicht'!$I$2:$I$88</c:f>
              <c:strCache>
                <c:ptCount val="87"/>
                <c:pt idx="0">
                  <c:v>Bestimmung der Erythrozyten-Verteilungsbreite</c:v>
                </c:pt>
                <c:pt idx="1">
                  <c:v>Thrombozytenzählung</c:v>
                </c:pt>
                <c:pt idx="2">
                  <c:v>Bestimmung von C-reaktivem Protein</c:v>
                </c:pt>
                <c:pt idx="3">
                  <c:v>Bestimmung des prozentualen Anteils der Leukozyten im Differenzialblutbild</c:v>
                </c:pt>
                <c:pt idx="4">
                  <c:v>Acetylcholinesterasebestimmung</c:v>
                </c:pt>
                <c:pt idx="5">
                  <c:v>Calculation of international normalized ratio (procedure)</c:v>
                </c:pt>
                <c:pt idx="6">
                  <c:v>Gesamtproteinbestimmung im Plasma</c:v>
                </c:pt>
                <c:pt idx="7">
                  <c:v>Amylase-Spiegel im Plasma</c:v>
                </c:pt>
                <c:pt idx="8">
                  <c:v>Albumin-Spiegel im Plasma</c:v>
                </c:pt>
                <c:pt idx="9">
                  <c:v>Lipasebestimmung</c:v>
                </c:pt>
                <c:pt idx="10">
                  <c:v>Fibrinogenbestimmung</c:v>
                </c:pt>
                <c:pt idx="11">
                  <c:v>Glukosebestimmung, Blut</c:v>
                </c:pt>
                <c:pt idx="12">
                  <c:v>TSH-Bestimmung im Serum</c:v>
                </c:pt>
                <c:pt idx="13">
                  <c:v>Prothrombinzeit</c:v>
                </c:pt>
                <c:pt idx="14">
                  <c:v>Blutkörperchenzählung, automatisiert</c:v>
                </c:pt>
                <c:pt idx="15">
                  <c:v>Kreatininbestimmung</c:v>
                </c:pt>
                <c:pt idx="16">
                  <c:v>gfr/mdrd</c:v>
                </c:pt>
                <c:pt idx="17">
                  <c:v>Chloridbestimmung</c:v>
                </c:pt>
                <c:pt idx="18">
                  <c:v>Kalziumbestimmung albuminkorrigiert</c:v>
                </c:pt>
                <c:pt idx="19">
                  <c:v>Natriumbestimmung im Plasma</c:v>
                </c:pt>
                <c:pt idx="20">
                  <c:v>Harnstreifen</c:v>
                </c:pt>
                <c:pt idx="21">
                  <c:v>Kalium-Spiegel im Plasma</c:v>
                </c:pt>
                <c:pt idx="22">
                  <c:v>Alaninaminotransferase-Spiegel im Plasma</c:v>
                </c:pt>
                <c:pt idx="23">
                  <c:v>Bestimmung des Gesamtbilirubins im Plasma</c:v>
                </c:pt>
                <c:pt idx="24">
                  <c:v>alkalische-Phosphatase-Spiegel im Plasma</c:v>
                </c:pt>
                <c:pt idx="25">
                  <c:v>Gammaglutamyltransferasebestimmung im Plasma</c:v>
                </c:pt>
                <c:pt idx="26">
                  <c:v>Harnstoffbestimmung im Harn</c:v>
                </c:pt>
                <c:pt idx="27">
                  <c:v>Aspartattransaminasebestimmung im Plasma</c:v>
                </c:pt>
                <c:pt idx="28">
                  <c:v>Laktatdehydrogenasebestimmung</c:v>
                </c:pt>
                <c:pt idx="29">
                  <c:v>RÖ: Thorax (lateral)</c:v>
                </c:pt>
                <c:pt idx="30">
                  <c:v>partielle Thromboplastinzeit, aktiviert</c:v>
                </c:pt>
                <c:pt idx="31">
                  <c:v>Harnsäurebestimmung, Harn</c:v>
                </c:pt>
                <c:pt idx="32">
                  <c:v>Kreatinkinase-Bestimmung</c:v>
                </c:pt>
                <c:pt idx="33">
                  <c:v>RÖ: Thorax (Übersichtsaufnahme)</c:v>
                </c:pt>
                <c:pt idx="34">
                  <c:v>freies-T4-Bestimmung im Serum</c:v>
                </c:pt>
                <c:pt idx="35">
                  <c:v>Bestimmung von freiem Triiodthyronin im Serum</c:v>
                </c:pt>
                <c:pt idx="36">
                  <c:v>Anti-Faktor-Xa-Bestimmung</c:v>
                </c:pt>
                <c:pt idx="37">
                  <c:v>US: Unterbauch (transabdominell)</c:v>
                </c:pt>
                <c:pt idx="38">
                  <c:v>Thrombozytentransfusion</c:v>
                </c:pt>
                <c:pt idx="39">
                  <c:v>Test am Bett des Patienten</c:v>
                </c:pt>
                <c:pt idx="40">
                  <c:v>Osmolalitätbestimmung, Serum</c:v>
                </c:pt>
                <c:pt idx="41">
                  <c:v>Hämoglobin-A1c-Bestimmung</c:v>
                </c:pt>
                <c:pt idx="42">
                  <c:v>CT:</c:v>
                </c:pt>
                <c:pt idx="43">
                  <c:v>AB0-Blutgruppenbestimmung</c:v>
                </c:pt>
                <c:pt idx="44">
                  <c:v>Blutgruppenantikörper-Screening</c:v>
                </c:pt>
                <c:pt idx="45">
                  <c:v>Harnstatus, Sedimentuntersuchung, zentrifugiert</c:v>
                </c:pt>
                <c:pt idx="46">
                  <c:v>Phosphorbestimmung</c:v>
                </c:pt>
                <c:pt idx="47">
                  <c:v>Rhesus-Blutgruppenbestimmung</c:v>
                </c:pt>
                <c:pt idx="48">
                  <c:v>Bestimmung von konjugiertem Bilirubin im Plasma</c:v>
                </c:pt>
                <c:pt idx="49">
                  <c:v>Bestimmung von unkonjugiertem Bilirubin im Plasma</c:v>
                </c:pt>
                <c:pt idx="50">
                  <c:v>CT: Becken</c:v>
                </c:pt>
                <c:pt idx="51">
                  <c:v>CT: Oberbauch</c:v>
                </c:pt>
                <c:pt idx="52">
                  <c:v>US: Niere</c:v>
                </c:pt>
                <c:pt idx="53">
                  <c:v>US: Becken</c:v>
                </c:pt>
                <c:pt idx="54">
                  <c:v>CT: Harnorgane</c:v>
                </c:pt>
                <c:pt idx="55">
                  <c:v>CT: intravenöse Kontrastmittelgabe</c:v>
                </c:pt>
                <c:pt idx="56">
                  <c:v>Hämodialyse</c:v>
                </c:pt>
                <c:pt idx="57">
                  <c:v>US: Oberbauch</c:v>
                </c:pt>
                <c:pt idx="58">
                  <c:v>US: Karotis</c:v>
                </c:pt>
                <c:pt idx="59">
                  <c:v>US: Retroperitoneum</c:v>
                </c:pt>
                <c:pt idx="60">
                  <c:v>US: Wirbelarterie</c:v>
                </c:pt>
                <c:pt idx="61">
                  <c:v>Blutgruppentypisierung, Rh-Phänotypisierung, großes E</c:v>
                </c:pt>
                <c:pt idx="62">
                  <c:v>CT: Abdomen</c:v>
                </c:pt>
                <c:pt idx="63">
                  <c:v>US: Restharn</c:v>
                </c:pt>
                <c:pt idx="64">
                  <c:v>Bestimmung des carcinoembryonalen Antigens</c:v>
                </c:pt>
                <c:pt idx="65">
                  <c:v>Triglyceridbestimmung</c:v>
                </c:pt>
                <c:pt idx="66">
                  <c:v>Messung der Konzentration von prostataspezifischem Antigen (psa)</c:v>
                </c:pt>
                <c:pt idx="67">
                  <c:v>High-density-Lipoprotein-Cholesterinbestimmung</c:v>
                </c:pt>
                <c:pt idx="68">
                  <c:v>US: Echokardiographie</c:v>
                </c:pt>
                <c:pt idx="69">
                  <c:v>US: männliche Genitale</c:v>
                </c:pt>
                <c:pt idx="70">
                  <c:v>CT: Kopfstruktur</c:v>
                </c:pt>
                <c:pt idx="71">
                  <c:v>US: Abdomen</c:v>
                </c:pt>
                <c:pt idx="72">
                  <c:v>US: Bewegungsapparat</c:v>
                </c:pt>
                <c:pt idx="73">
                  <c:v>RÖ: Sprunggelenk</c:v>
                </c:pt>
                <c:pt idx="74">
                  <c:v>RÖ: Hüfte</c:v>
                </c:pt>
                <c:pt idx="75">
                  <c:v>X-ray consultation (procedure)</c:v>
                </c:pt>
                <c:pt idx="76">
                  <c:v>RÖ: Becken</c:v>
                </c:pt>
                <c:pt idx="77">
                  <c:v>RÖ: Oberschenkel</c:v>
                </c:pt>
                <c:pt idx="78">
                  <c:v>MR: intravenöse Kontrastmittelgabe</c:v>
                </c:pt>
                <c:pt idx="79">
                  <c:v>RÖ: Extremitäten</c:v>
                </c:pt>
                <c:pt idx="80">
                  <c:v>US: Prostata (transrektal)</c:v>
                </c:pt>
                <c:pt idx="81">
                  <c:v>Angio: CT</c:v>
                </c:pt>
                <c:pt idx="82">
                  <c:v>US: (transrektal)</c:v>
                </c:pt>
                <c:pt idx="83">
                  <c:v>US: (mit Doppler)</c:v>
                </c:pt>
                <c:pt idx="84">
                  <c:v>CT: Thorax</c:v>
                </c:pt>
                <c:pt idx="85">
                  <c:v>US: Periphere Gefäße</c:v>
                </c:pt>
                <c:pt idx="86">
                  <c:v>US: Lymphknoten</c:v>
                </c:pt>
              </c:strCache>
            </c:strRef>
          </c:cat>
          <c:val>
            <c:numRef>
              <c:f>'Hernie Übersicht'!$N$2:$N$88</c:f>
              <c:numCache>
                <c:formatCode>General</c:formatCode>
                <c:ptCount val="87"/>
                <c:pt idx="0">
                  <c:v>159</c:v>
                </c:pt>
                <c:pt idx="1">
                  <c:v>159</c:v>
                </c:pt>
                <c:pt idx="2">
                  <c:v>113.5</c:v>
                </c:pt>
                <c:pt idx="3">
                  <c:v>136</c:v>
                </c:pt>
                <c:pt idx="4">
                  <c:v>35</c:v>
                </c:pt>
                <c:pt idx="5">
                  <c:v>62</c:v>
                </c:pt>
                <c:pt idx="6">
                  <c:v>34</c:v>
                </c:pt>
                <c:pt idx="7">
                  <c:v>28.5</c:v>
                </c:pt>
                <c:pt idx="8">
                  <c:v>28.5</c:v>
                </c:pt>
                <c:pt idx="9">
                  <c:v>28.5</c:v>
                </c:pt>
                <c:pt idx="10">
                  <c:v>28.5</c:v>
                </c:pt>
                <c:pt idx="11">
                  <c:v>38.5</c:v>
                </c:pt>
                <c:pt idx="12">
                  <c:v>39.5</c:v>
                </c:pt>
                <c:pt idx="13">
                  <c:v>119.5</c:v>
                </c:pt>
                <c:pt idx="14">
                  <c:v>74</c:v>
                </c:pt>
                <c:pt idx="15">
                  <c:v>93</c:v>
                </c:pt>
                <c:pt idx="16">
                  <c:v>93</c:v>
                </c:pt>
                <c:pt idx="17">
                  <c:v>92</c:v>
                </c:pt>
                <c:pt idx="18">
                  <c:v>92</c:v>
                </c:pt>
                <c:pt idx="19">
                  <c:v>92</c:v>
                </c:pt>
                <c:pt idx="20">
                  <c:v>72.5</c:v>
                </c:pt>
                <c:pt idx="21">
                  <c:v>88</c:v>
                </c:pt>
                <c:pt idx="22">
                  <c:v>83.5</c:v>
                </c:pt>
                <c:pt idx="23">
                  <c:v>83.5</c:v>
                </c:pt>
                <c:pt idx="24">
                  <c:v>83.5</c:v>
                </c:pt>
                <c:pt idx="25">
                  <c:v>83.5</c:v>
                </c:pt>
                <c:pt idx="26">
                  <c:v>60</c:v>
                </c:pt>
                <c:pt idx="27">
                  <c:v>83</c:v>
                </c:pt>
                <c:pt idx="28">
                  <c:v>83</c:v>
                </c:pt>
                <c:pt idx="29">
                  <c:v>16.5</c:v>
                </c:pt>
                <c:pt idx="30">
                  <c:v>83</c:v>
                </c:pt>
                <c:pt idx="31">
                  <c:v>11</c:v>
                </c:pt>
                <c:pt idx="32">
                  <c:v>11.5</c:v>
                </c:pt>
                <c:pt idx="33">
                  <c:v>22.5</c:v>
                </c:pt>
                <c:pt idx="34">
                  <c:v>6</c:v>
                </c:pt>
                <c:pt idx="35">
                  <c:v>6</c:v>
                </c:pt>
                <c:pt idx="36">
                  <c:v>5.5</c:v>
                </c:pt>
                <c:pt idx="37">
                  <c:v>9.5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7</c:v>
                </c:pt>
                <c:pt idx="43">
                  <c:v>4.5</c:v>
                </c:pt>
                <c:pt idx="44">
                  <c:v>4.5</c:v>
                </c:pt>
                <c:pt idx="45">
                  <c:v>4.5</c:v>
                </c:pt>
                <c:pt idx="46">
                  <c:v>4.5</c:v>
                </c:pt>
                <c:pt idx="47">
                  <c:v>4.5</c:v>
                </c:pt>
                <c:pt idx="48">
                  <c:v>4</c:v>
                </c:pt>
                <c:pt idx="49">
                  <c:v>4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3.5</c:v>
                </c:pt>
                <c:pt idx="56">
                  <c:v>2</c:v>
                </c:pt>
                <c:pt idx="57">
                  <c:v>6</c:v>
                </c:pt>
                <c:pt idx="58">
                  <c:v>2</c:v>
                </c:pt>
                <c:pt idx="59">
                  <c:v>6</c:v>
                </c:pt>
                <c:pt idx="60">
                  <c:v>2</c:v>
                </c:pt>
                <c:pt idx="61">
                  <c:v>1.5</c:v>
                </c:pt>
                <c:pt idx="62">
                  <c:v>2.5</c:v>
                </c:pt>
                <c:pt idx="63">
                  <c:v>1.5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2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5.5</c:v>
                </c:pt>
                <c:pt idx="73">
                  <c:v>1.5</c:v>
                </c:pt>
                <c:pt idx="74">
                  <c:v>0.5</c:v>
                </c:pt>
                <c:pt idx="75">
                  <c:v>0.5</c:v>
                </c:pt>
                <c:pt idx="76">
                  <c:v>0.5</c:v>
                </c:pt>
                <c:pt idx="77">
                  <c:v>0.5</c:v>
                </c:pt>
                <c:pt idx="78">
                  <c:v>0.5</c:v>
                </c:pt>
                <c:pt idx="79">
                  <c:v>0.5</c:v>
                </c:pt>
                <c:pt idx="80">
                  <c:v>0.5</c:v>
                </c:pt>
                <c:pt idx="81">
                  <c:v>0.5</c:v>
                </c:pt>
                <c:pt idx="82">
                  <c:v>0.5</c:v>
                </c:pt>
                <c:pt idx="83">
                  <c:v>0.5</c:v>
                </c:pt>
                <c:pt idx="84">
                  <c:v>0.5</c:v>
                </c:pt>
                <c:pt idx="85">
                  <c:v>0.5</c:v>
                </c:pt>
                <c:pt idx="86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'Hernie Übersicht'!$O$2:$O$88</c15:f>
                <c15:dlblRangeCache>
                  <c:ptCount val="87"/>
                  <c:pt idx="0">
                    <c:v>122</c:v>
                  </c:pt>
                  <c:pt idx="1">
                    <c:v>122</c:v>
                  </c:pt>
                  <c:pt idx="2">
                    <c:v>83</c:v>
                  </c:pt>
                  <c:pt idx="3">
                    <c:v>78</c:v>
                  </c:pt>
                  <c:pt idx="4">
                    <c:v>70</c:v>
                  </c:pt>
                  <c:pt idx="5">
                    <c:v>66</c:v>
                  </c:pt>
                  <c:pt idx="6">
                    <c:v>62</c:v>
                  </c:pt>
                  <c:pt idx="7">
                    <c:v>57</c:v>
                  </c:pt>
                  <c:pt idx="8">
                    <c:v>57</c:v>
                  </c:pt>
                  <c:pt idx="9">
                    <c:v>57</c:v>
                  </c:pt>
                  <c:pt idx="10">
                    <c:v>57</c:v>
                  </c:pt>
                  <c:pt idx="11">
                    <c:v>57</c:v>
                  </c:pt>
                  <c:pt idx="12">
                    <c:v>53</c:v>
                  </c:pt>
                  <c:pt idx="13">
                    <c:v>49</c:v>
                  </c:pt>
                  <c:pt idx="14">
                    <c:v>48</c:v>
                  </c:pt>
                  <c:pt idx="15">
                    <c:v>42</c:v>
                  </c:pt>
                  <c:pt idx="16">
                    <c:v>42</c:v>
                  </c:pt>
                  <c:pt idx="17">
                    <c:v>38</c:v>
                  </c:pt>
                  <c:pt idx="18">
                    <c:v>38</c:v>
                  </c:pt>
                  <c:pt idx="19">
                    <c:v>38</c:v>
                  </c:pt>
                  <c:pt idx="20">
                    <c:v>31</c:v>
                  </c:pt>
                  <c:pt idx="21">
                    <c:v>28</c:v>
                  </c:pt>
                  <c:pt idx="22">
                    <c:v>27</c:v>
                  </c:pt>
                  <c:pt idx="23">
                    <c:v>27</c:v>
                  </c:pt>
                  <c:pt idx="24">
                    <c:v>27</c:v>
                  </c:pt>
                  <c:pt idx="25">
                    <c:v>27</c:v>
                  </c:pt>
                  <c:pt idx="26">
                    <c:v>24</c:v>
                  </c:pt>
                  <c:pt idx="27">
                    <c:v>22</c:v>
                  </c:pt>
                  <c:pt idx="28">
                    <c:v>22</c:v>
                  </c:pt>
                  <c:pt idx="29">
                    <c:v>21</c:v>
                  </c:pt>
                  <c:pt idx="30">
                    <c:v>20</c:v>
                  </c:pt>
                  <c:pt idx="31">
                    <c:v>18</c:v>
                  </c:pt>
                  <c:pt idx="32">
                    <c:v>17</c:v>
                  </c:pt>
                  <c:pt idx="33">
                    <c:v>13</c:v>
                  </c:pt>
                  <c:pt idx="34">
                    <c:v>12</c:v>
                  </c:pt>
                  <c:pt idx="35">
                    <c:v>12</c:v>
                  </c:pt>
                  <c:pt idx="36">
                    <c:v>11</c:v>
                  </c:pt>
                  <c:pt idx="37">
                    <c:v>11</c:v>
                  </c:pt>
                  <c:pt idx="38">
                    <c:v>10</c:v>
                  </c:pt>
                  <c:pt idx="39">
                    <c:v>10</c:v>
                  </c:pt>
                  <c:pt idx="40">
                    <c:v>10</c:v>
                  </c:pt>
                  <c:pt idx="41">
                    <c:v>10</c:v>
                  </c:pt>
                  <c:pt idx="42">
                    <c:v>10</c:v>
                  </c:pt>
                  <c:pt idx="43">
                    <c:v>9</c:v>
                  </c:pt>
                  <c:pt idx="44">
                    <c:v>9</c:v>
                  </c:pt>
                  <c:pt idx="45">
                    <c:v>9</c:v>
                  </c:pt>
                  <c:pt idx="46">
                    <c:v>9</c:v>
                  </c:pt>
                  <c:pt idx="47">
                    <c:v>9</c:v>
                  </c:pt>
                  <c:pt idx="48">
                    <c:v>8</c:v>
                  </c:pt>
                  <c:pt idx="49">
                    <c:v>8</c:v>
                  </c:pt>
                  <c:pt idx="50">
                    <c:v>6</c:v>
                  </c:pt>
                  <c:pt idx="51">
                    <c:v>6</c:v>
                  </c:pt>
                  <c:pt idx="52">
                    <c:v>6</c:v>
                  </c:pt>
                  <c:pt idx="53">
                    <c:v>6</c:v>
                  </c:pt>
                  <c:pt idx="54">
                    <c:v>6</c:v>
                  </c:pt>
                  <c:pt idx="55">
                    <c:v>5</c:v>
                  </c:pt>
                  <c:pt idx="56">
                    <c:v>4</c:v>
                  </c:pt>
                  <c:pt idx="57">
                    <c:v>4</c:v>
                  </c:pt>
                  <c:pt idx="58">
                    <c:v>4</c:v>
                  </c:pt>
                  <c:pt idx="59">
                    <c:v>4</c:v>
                  </c:pt>
                  <c:pt idx="60">
                    <c:v>4</c:v>
                  </c:pt>
                  <c:pt idx="61">
                    <c:v>3</c:v>
                  </c:pt>
                  <c:pt idx="62">
                    <c:v>3</c:v>
                  </c:pt>
                  <c:pt idx="63">
                    <c:v>3</c:v>
                  </c:pt>
                  <c:pt idx="64">
                    <c:v>2</c:v>
                  </c:pt>
                  <c:pt idx="65">
                    <c:v>2</c:v>
                  </c:pt>
                  <c:pt idx="66">
                    <c:v>2</c:v>
                  </c:pt>
                  <c:pt idx="67">
                    <c:v>2</c:v>
                  </c:pt>
                  <c:pt idx="68">
                    <c:v>2</c:v>
                  </c:pt>
                  <c:pt idx="69">
                    <c:v>2</c:v>
                  </c:pt>
                  <c:pt idx="70">
                    <c:v>2</c:v>
                  </c:pt>
                  <c:pt idx="71">
                    <c:v>2</c:v>
                  </c:pt>
                  <c:pt idx="72">
                    <c:v>1</c:v>
                  </c:pt>
                  <c:pt idx="73">
                    <c:v>1</c:v>
                  </c:pt>
                  <c:pt idx="74">
                    <c:v>1</c:v>
                  </c:pt>
                  <c:pt idx="75">
                    <c:v>1</c:v>
                  </c:pt>
                  <c:pt idx="76">
                    <c:v>1</c:v>
                  </c:pt>
                  <c:pt idx="77">
                    <c:v>1</c:v>
                  </c:pt>
                  <c:pt idx="78">
                    <c:v>1</c:v>
                  </c:pt>
                  <c:pt idx="79">
                    <c:v>1</c:v>
                  </c:pt>
                  <c:pt idx="80">
                    <c:v>1</c:v>
                  </c:pt>
                  <c:pt idx="81">
                    <c:v>1</c:v>
                  </c:pt>
                  <c:pt idx="82">
                    <c:v>1</c:v>
                  </c:pt>
                  <c:pt idx="83">
                    <c:v>1</c:v>
                  </c:pt>
                  <c:pt idx="84">
                    <c:v>1</c:v>
                  </c:pt>
                  <c:pt idx="85">
                    <c:v>1</c:v>
                  </c:pt>
                  <c:pt idx="86">
                    <c:v>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2-79E2-4320-897B-FA60BD967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6531439"/>
        <c:axId val="982668367"/>
      </c:lineChart>
      <c:catAx>
        <c:axId val="446531439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82668367"/>
        <c:crosses val="autoZero"/>
        <c:auto val="1"/>
        <c:lblAlgn val="ctr"/>
        <c:lblOffset val="20"/>
        <c:noMultiLvlLbl val="0"/>
      </c:catAx>
      <c:valAx>
        <c:axId val="982668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46531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b" anchorCtr="0"/>
        <a:lstStyle/>
        <a:p>
          <a:pPr>
            <a:defRPr sz="3200" b="0" i="0" u="none" strike="noStrike" kern="1200" baseline="0">
              <a:ln>
                <a:noFill/>
              </a:ln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2400"/>
              <a:t>Vergleich</a:t>
            </a:r>
            <a:r>
              <a:rPr lang="de-DE" sz="2400" baseline="0"/>
              <a:t> Galle KH 1 gegen KH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1.5581286290672229E-2"/>
          <c:y val="5.5052305493207554E-2"/>
          <c:w val="0.98168784882628624"/>
          <c:h val="0.59517379640387402"/>
        </c:manualLayout>
      </c:layout>
      <c:lineChart>
        <c:grouping val="standard"/>
        <c:varyColors val="0"/>
        <c:ser>
          <c:idx val="0"/>
          <c:order val="0"/>
          <c:tx>
            <c:strRef>
              <c:f>'Galle Übersicht'!$L$1</c:f>
              <c:strCache>
                <c:ptCount val="1"/>
                <c:pt idx="0">
                  <c:v>Anzahl KH1</c:v>
                </c:pt>
              </c:strCache>
            </c:strRef>
          </c:tx>
          <c:spPr>
            <a:ln w="38100" cap="rnd">
              <a:solidFill>
                <a:schemeClr val="accent6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chemeClr val="accent6">
                  <a:lumMod val="50000"/>
                </a:schemeClr>
              </a:solidFill>
              <a:ln w="9525">
                <a:noFill/>
              </a:ln>
              <a:effectLst/>
            </c:spPr>
          </c:marker>
          <c:cat>
            <c:strRef>
              <c:f>'Galle Übersicht'!$I$2:$I$88</c:f>
              <c:strCache>
                <c:ptCount val="78"/>
                <c:pt idx="0">
                  <c:v>Thrombozytenzählung</c:v>
                </c:pt>
                <c:pt idx="1">
                  <c:v>Bestimmung der Erythrozyten-Verteilungsbreite</c:v>
                </c:pt>
                <c:pt idx="2">
                  <c:v>Blutkörperchenzählung, automatisiert</c:v>
                </c:pt>
                <c:pt idx="3">
                  <c:v>Bestimmung des prozentualen Anteils der Leukozyten im Differenzialblutbild</c:v>
                </c:pt>
                <c:pt idx="4">
                  <c:v>Bestimmung von C-reaktivem Protein</c:v>
                </c:pt>
                <c:pt idx="5">
                  <c:v>Laktatdehydrogenasebestimmung</c:v>
                </c:pt>
                <c:pt idx="6">
                  <c:v>Aspartattransaminasebestimmung im Plasma</c:v>
                </c:pt>
                <c:pt idx="7">
                  <c:v>Gammaglutamyltransferasebestimmung im Plasma</c:v>
                </c:pt>
                <c:pt idx="8">
                  <c:v>alkalische-Phosphatase-Spiegel im Plasma</c:v>
                </c:pt>
                <c:pt idx="9">
                  <c:v>Bestimmung des Gesamtbilirubins im Plasma</c:v>
                </c:pt>
                <c:pt idx="10">
                  <c:v>Alaninaminotransferase-Spiegel im Plasma</c:v>
                </c:pt>
                <c:pt idx="11">
                  <c:v>Acetylcholinesterasebestimmung</c:v>
                </c:pt>
                <c:pt idx="12">
                  <c:v>Gesamtproteinbestimmung im Plasma</c:v>
                </c:pt>
                <c:pt idx="13">
                  <c:v>Calculation of international normalized ratio (procedure)</c:v>
                </c:pt>
                <c:pt idx="14">
                  <c:v>Prothrombinzeit</c:v>
                </c:pt>
                <c:pt idx="15">
                  <c:v>Kalium-Spiegel im Plasma</c:v>
                </c:pt>
                <c:pt idx="16">
                  <c:v>Natriumbestimmung im Plasma</c:v>
                </c:pt>
                <c:pt idx="17">
                  <c:v>Chloridbestimmung</c:v>
                </c:pt>
                <c:pt idx="18">
                  <c:v>Kalziumbestimmung albuminkorrigiert</c:v>
                </c:pt>
                <c:pt idx="19">
                  <c:v>Harnstoffbestimmung im Harn</c:v>
                </c:pt>
                <c:pt idx="20">
                  <c:v>Kreatininbestimmung</c:v>
                </c:pt>
                <c:pt idx="21">
                  <c:v>gfr/mdrd</c:v>
                </c:pt>
                <c:pt idx="22">
                  <c:v>partielle Thromboplastinzeit, aktiviert</c:v>
                </c:pt>
                <c:pt idx="23">
                  <c:v>Glukosebestimmung, Blut</c:v>
                </c:pt>
                <c:pt idx="24">
                  <c:v>Rhesus-Blutgruppenbestimmung</c:v>
                </c:pt>
                <c:pt idx="25">
                  <c:v>Blutgruppenantikörper-Screening</c:v>
                </c:pt>
                <c:pt idx="26">
                  <c:v>AB0-Blutgruppenbestimmung</c:v>
                </c:pt>
                <c:pt idx="27">
                  <c:v>Amylase-Spiegel im Plasma</c:v>
                </c:pt>
                <c:pt idx="28">
                  <c:v>Harnstreifen</c:v>
                </c:pt>
                <c:pt idx="29">
                  <c:v>Lipasebestimmung</c:v>
                </c:pt>
                <c:pt idx="30">
                  <c:v>Bestimmung von konjugiertem Bilirubin im Plasma</c:v>
                </c:pt>
                <c:pt idx="31">
                  <c:v>Bestimmung von unkonjugiertem Bilirubin im Plasma</c:v>
                </c:pt>
                <c:pt idx="32">
                  <c:v>Blutgruppentypisierung, Rh-Phänotypisierung</c:v>
                </c:pt>
                <c:pt idx="33">
                  <c:v>Blutgruppentypisierung</c:v>
                </c:pt>
                <c:pt idx="34">
                  <c:v>Erythrozytenantikörpernachweis</c:v>
                </c:pt>
                <c:pt idx="35">
                  <c:v>Blutgruppentypisierung, Rh-Phänotypisierung, großes E</c:v>
                </c:pt>
                <c:pt idx="36">
                  <c:v>Blutgruppentypisierung, Rh-Phänotypisierung, kleines c</c:v>
                </c:pt>
                <c:pt idx="37">
                  <c:v>TSH-Bestimmung im Serum</c:v>
                </c:pt>
                <c:pt idx="38">
                  <c:v>Bestimmung von freiem Triiodthyronin im Serum</c:v>
                </c:pt>
                <c:pt idx="39">
                  <c:v>freies-T4-Bestimmung im Serum</c:v>
                </c:pt>
                <c:pt idx="40">
                  <c:v>US: Oberbauch</c:v>
                </c:pt>
                <c:pt idx="41">
                  <c:v>US: Unterbauch (transabdominell)</c:v>
                </c:pt>
                <c:pt idx="42">
                  <c:v>US: Retroperitoneum</c:v>
                </c:pt>
                <c:pt idx="43">
                  <c:v>RÖ: Thorax (Übersichtsaufnahme)</c:v>
                </c:pt>
                <c:pt idx="44">
                  <c:v>CT:</c:v>
                </c:pt>
                <c:pt idx="45">
                  <c:v>RÖ: Thorax (lateral)</c:v>
                </c:pt>
                <c:pt idx="46">
                  <c:v>CT: Abdomen</c:v>
                </c:pt>
                <c:pt idx="47">
                  <c:v>CT: intravenöse Kontrastmittelgabe</c:v>
                </c:pt>
                <c:pt idx="48">
                  <c:v>Durchleuchtung</c:v>
                </c:pt>
                <c:pt idx="49">
                  <c:v>US: Echokardiographie</c:v>
                </c:pt>
                <c:pt idx="50">
                  <c:v>US: Niere</c:v>
                </c:pt>
                <c:pt idx="51">
                  <c:v>US: Becken</c:v>
                </c:pt>
                <c:pt idx="52">
                  <c:v>RÖ: Schulter</c:v>
                </c:pt>
                <c:pt idx="53">
                  <c:v>CT: Becken</c:v>
                </c:pt>
                <c:pt idx="54">
                  <c:v>CT: Harnorgane</c:v>
                </c:pt>
                <c:pt idx="55">
                  <c:v>US: Schilddrüse</c:v>
                </c:pt>
                <c:pt idx="56">
                  <c:v>CT: Oberbauch</c:v>
                </c:pt>
                <c:pt idx="57">
                  <c:v>Angio: CT untere Extremität</c:v>
                </c:pt>
                <c:pt idx="58">
                  <c:v>RÖ: Sinus paranasales</c:v>
                </c:pt>
                <c:pt idx="59">
                  <c:v>RÖ: Becken</c:v>
                </c:pt>
                <c:pt idx="60">
                  <c:v>RÖ: Knie</c:v>
                </c:pt>
                <c:pt idx="61">
                  <c:v>Spirometrie</c:v>
                </c:pt>
                <c:pt idx="62">
                  <c:v>US: Periphere Gefäße</c:v>
                </c:pt>
                <c:pt idx="63">
                  <c:v>RÖ: Hüfte</c:v>
                </c:pt>
                <c:pt idx="64">
                  <c:v>RÖ: Brustkorb</c:v>
                </c:pt>
                <c:pt idx="65">
                  <c:v>Albumin-Spiegel im Plasma</c:v>
                </c:pt>
                <c:pt idx="66">
                  <c:v>Harnsäurebestimmung, Harn</c:v>
                </c:pt>
                <c:pt idx="67">
                  <c:v>Fibrinogenbestimmung</c:v>
                </c:pt>
                <c:pt idx="68">
                  <c:v>Harnstatus, Sedimentuntersuchung, zentrifugiert</c:v>
                </c:pt>
                <c:pt idx="69">
                  <c:v>MR: Cholangio (MRCP)</c:v>
                </c:pt>
                <c:pt idx="70">
                  <c:v>MR: Abdomen</c:v>
                </c:pt>
                <c:pt idx="71">
                  <c:v>ERCP: Galle</c:v>
                </c:pt>
                <c:pt idx="72">
                  <c:v>MR:</c:v>
                </c:pt>
                <c:pt idx="73">
                  <c:v>MR: intravenöse Kontrastmittelgabe</c:v>
                </c:pt>
                <c:pt idx="74">
                  <c:v>US: weibliche Genitale</c:v>
                </c:pt>
                <c:pt idx="75">
                  <c:v>US: (transrektal)</c:v>
                </c:pt>
                <c:pt idx="76">
                  <c:v>RÖ: Gallengang</c:v>
                </c:pt>
                <c:pt idx="77">
                  <c:v>Nuklear: Schilddrüse</c:v>
                </c:pt>
              </c:strCache>
            </c:strRef>
          </c:cat>
          <c:val>
            <c:numRef>
              <c:f>'Galle Übersicht'!$L$2:$L$79</c:f>
              <c:numCache>
                <c:formatCode>General</c:formatCode>
                <c:ptCount val="78"/>
                <c:pt idx="0">
                  <c:v>280</c:v>
                </c:pt>
                <c:pt idx="1">
                  <c:v>280</c:v>
                </c:pt>
                <c:pt idx="2">
                  <c:v>91</c:v>
                </c:pt>
                <c:pt idx="3">
                  <c:v>183</c:v>
                </c:pt>
                <c:pt idx="4">
                  <c:v>270</c:v>
                </c:pt>
                <c:pt idx="5">
                  <c:v>242</c:v>
                </c:pt>
                <c:pt idx="6">
                  <c:v>248</c:v>
                </c:pt>
                <c:pt idx="7">
                  <c:v>253</c:v>
                </c:pt>
                <c:pt idx="8">
                  <c:v>253</c:v>
                </c:pt>
                <c:pt idx="9">
                  <c:v>254</c:v>
                </c:pt>
                <c:pt idx="10">
                  <c:v>244</c:v>
                </c:pt>
                <c:pt idx="11">
                  <c:v>0</c:v>
                </c:pt>
                <c:pt idx="12">
                  <c:v>44</c:v>
                </c:pt>
                <c:pt idx="13">
                  <c:v>18</c:v>
                </c:pt>
                <c:pt idx="14">
                  <c:v>102</c:v>
                </c:pt>
                <c:pt idx="15">
                  <c:v>152</c:v>
                </c:pt>
                <c:pt idx="16">
                  <c:v>162</c:v>
                </c:pt>
                <c:pt idx="17">
                  <c:v>162</c:v>
                </c:pt>
                <c:pt idx="18">
                  <c:v>162</c:v>
                </c:pt>
                <c:pt idx="19">
                  <c:v>119</c:v>
                </c:pt>
                <c:pt idx="20">
                  <c:v>170</c:v>
                </c:pt>
                <c:pt idx="21">
                  <c:v>170</c:v>
                </c:pt>
                <c:pt idx="22">
                  <c:v>48</c:v>
                </c:pt>
                <c:pt idx="23">
                  <c:v>26</c:v>
                </c:pt>
                <c:pt idx="24">
                  <c:v>51</c:v>
                </c:pt>
                <c:pt idx="25">
                  <c:v>51</c:v>
                </c:pt>
                <c:pt idx="26">
                  <c:v>51</c:v>
                </c:pt>
                <c:pt idx="27">
                  <c:v>122</c:v>
                </c:pt>
                <c:pt idx="28">
                  <c:v>41</c:v>
                </c:pt>
                <c:pt idx="29">
                  <c:v>122</c:v>
                </c:pt>
                <c:pt idx="30">
                  <c:v>51</c:v>
                </c:pt>
                <c:pt idx="31">
                  <c:v>21</c:v>
                </c:pt>
                <c:pt idx="32">
                  <c:v>22</c:v>
                </c:pt>
                <c:pt idx="33">
                  <c:v>19</c:v>
                </c:pt>
                <c:pt idx="34">
                  <c:v>19</c:v>
                </c:pt>
                <c:pt idx="35">
                  <c:v>15</c:v>
                </c:pt>
                <c:pt idx="36">
                  <c:v>0</c:v>
                </c:pt>
                <c:pt idx="37">
                  <c:v>71</c:v>
                </c:pt>
                <c:pt idx="38">
                  <c:v>0</c:v>
                </c:pt>
                <c:pt idx="39">
                  <c:v>0</c:v>
                </c:pt>
                <c:pt idx="40">
                  <c:v>37</c:v>
                </c:pt>
                <c:pt idx="41">
                  <c:v>37</c:v>
                </c:pt>
                <c:pt idx="42">
                  <c:v>37</c:v>
                </c:pt>
                <c:pt idx="43">
                  <c:v>15</c:v>
                </c:pt>
                <c:pt idx="44">
                  <c:v>14</c:v>
                </c:pt>
                <c:pt idx="45">
                  <c:v>5</c:v>
                </c:pt>
                <c:pt idx="46">
                  <c:v>14</c:v>
                </c:pt>
                <c:pt idx="47">
                  <c:v>12</c:v>
                </c:pt>
                <c:pt idx="48">
                  <c:v>0</c:v>
                </c:pt>
                <c:pt idx="49">
                  <c:v>0</c:v>
                </c:pt>
                <c:pt idx="50">
                  <c:v>3</c:v>
                </c:pt>
                <c:pt idx="51">
                  <c:v>4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1</c:v>
                </c:pt>
                <c:pt idx="63">
                  <c:v>0</c:v>
                </c:pt>
                <c:pt idx="64">
                  <c:v>0</c:v>
                </c:pt>
                <c:pt idx="65">
                  <c:v>40</c:v>
                </c:pt>
                <c:pt idx="66">
                  <c:v>38</c:v>
                </c:pt>
                <c:pt idx="67">
                  <c:v>17</c:v>
                </c:pt>
                <c:pt idx="68">
                  <c:v>16</c:v>
                </c:pt>
                <c:pt idx="69">
                  <c:v>4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7D-4203-B7E0-704C7B832CCF}"/>
            </c:ext>
          </c:extLst>
        </c:ser>
        <c:ser>
          <c:idx val="1"/>
          <c:order val="1"/>
          <c:tx>
            <c:strRef>
              <c:f>'Galle Übersicht'!$M$1</c:f>
              <c:strCache>
                <c:ptCount val="1"/>
                <c:pt idx="0">
                  <c:v>Anzahl KH2</c:v>
                </c:pt>
              </c:strCache>
            </c:strRef>
          </c:tx>
          <c:spPr>
            <a:ln w="3810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diamond"/>
            <c:size val="7"/>
            <c:spPr>
              <a:solidFill>
                <a:schemeClr val="accent6">
                  <a:lumMod val="40000"/>
                  <a:lumOff val="6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strRef>
              <c:f>'Galle Übersicht'!$I$2:$I$88</c:f>
              <c:strCache>
                <c:ptCount val="78"/>
                <c:pt idx="0">
                  <c:v>Thrombozytenzählung</c:v>
                </c:pt>
                <c:pt idx="1">
                  <c:v>Bestimmung der Erythrozyten-Verteilungsbreite</c:v>
                </c:pt>
                <c:pt idx="2">
                  <c:v>Blutkörperchenzählung, automatisiert</c:v>
                </c:pt>
                <c:pt idx="3">
                  <c:v>Bestimmung des prozentualen Anteils der Leukozyten im Differenzialblutbild</c:v>
                </c:pt>
                <c:pt idx="4">
                  <c:v>Bestimmung von C-reaktivem Protein</c:v>
                </c:pt>
                <c:pt idx="5">
                  <c:v>Laktatdehydrogenasebestimmung</c:v>
                </c:pt>
                <c:pt idx="6">
                  <c:v>Aspartattransaminasebestimmung im Plasma</c:v>
                </c:pt>
                <c:pt idx="7">
                  <c:v>Gammaglutamyltransferasebestimmung im Plasma</c:v>
                </c:pt>
                <c:pt idx="8">
                  <c:v>alkalische-Phosphatase-Spiegel im Plasma</c:v>
                </c:pt>
                <c:pt idx="9">
                  <c:v>Bestimmung des Gesamtbilirubins im Plasma</c:v>
                </c:pt>
                <c:pt idx="10">
                  <c:v>Alaninaminotransferase-Spiegel im Plasma</c:v>
                </c:pt>
                <c:pt idx="11">
                  <c:v>Acetylcholinesterasebestimmung</c:v>
                </c:pt>
                <c:pt idx="12">
                  <c:v>Gesamtproteinbestimmung im Plasma</c:v>
                </c:pt>
                <c:pt idx="13">
                  <c:v>Calculation of international normalized ratio (procedure)</c:v>
                </c:pt>
                <c:pt idx="14">
                  <c:v>Prothrombinzeit</c:v>
                </c:pt>
                <c:pt idx="15">
                  <c:v>Kalium-Spiegel im Plasma</c:v>
                </c:pt>
                <c:pt idx="16">
                  <c:v>Natriumbestimmung im Plasma</c:v>
                </c:pt>
                <c:pt idx="17">
                  <c:v>Chloridbestimmung</c:v>
                </c:pt>
                <c:pt idx="18">
                  <c:v>Kalziumbestimmung albuminkorrigiert</c:v>
                </c:pt>
                <c:pt idx="19">
                  <c:v>Harnstoffbestimmung im Harn</c:v>
                </c:pt>
                <c:pt idx="20">
                  <c:v>Kreatininbestimmung</c:v>
                </c:pt>
                <c:pt idx="21">
                  <c:v>gfr/mdrd</c:v>
                </c:pt>
                <c:pt idx="22">
                  <c:v>partielle Thromboplastinzeit, aktiviert</c:v>
                </c:pt>
                <c:pt idx="23">
                  <c:v>Glukosebestimmung, Blut</c:v>
                </c:pt>
                <c:pt idx="24">
                  <c:v>Rhesus-Blutgruppenbestimmung</c:v>
                </c:pt>
                <c:pt idx="25">
                  <c:v>Blutgruppenantikörper-Screening</c:v>
                </c:pt>
                <c:pt idx="26">
                  <c:v>AB0-Blutgruppenbestimmung</c:v>
                </c:pt>
                <c:pt idx="27">
                  <c:v>Amylase-Spiegel im Plasma</c:v>
                </c:pt>
                <c:pt idx="28">
                  <c:v>Harnstreifen</c:v>
                </c:pt>
                <c:pt idx="29">
                  <c:v>Lipasebestimmung</c:v>
                </c:pt>
                <c:pt idx="30">
                  <c:v>Bestimmung von konjugiertem Bilirubin im Plasma</c:v>
                </c:pt>
                <c:pt idx="31">
                  <c:v>Bestimmung von unkonjugiertem Bilirubin im Plasma</c:v>
                </c:pt>
                <c:pt idx="32">
                  <c:v>Blutgruppentypisierung, Rh-Phänotypisierung</c:v>
                </c:pt>
                <c:pt idx="33">
                  <c:v>Blutgruppentypisierung</c:v>
                </c:pt>
                <c:pt idx="34">
                  <c:v>Erythrozytenantikörpernachweis</c:v>
                </c:pt>
                <c:pt idx="35">
                  <c:v>Blutgruppentypisierung, Rh-Phänotypisierung, großes E</c:v>
                </c:pt>
                <c:pt idx="36">
                  <c:v>Blutgruppentypisierung, Rh-Phänotypisierung, kleines c</c:v>
                </c:pt>
                <c:pt idx="37">
                  <c:v>TSH-Bestimmung im Serum</c:v>
                </c:pt>
                <c:pt idx="38">
                  <c:v>Bestimmung von freiem Triiodthyronin im Serum</c:v>
                </c:pt>
                <c:pt idx="39">
                  <c:v>freies-T4-Bestimmung im Serum</c:v>
                </c:pt>
                <c:pt idx="40">
                  <c:v>US: Oberbauch</c:v>
                </c:pt>
                <c:pt idx="41">
                  <c:v>US: Unterbauch (transabdominell)</c:v>
                </c:pt>
                <c:pt idx="42">
                  <c:v>US: Retroperitoneum</c:v>
                </c:pt>
                <c:pt idx="43">
                  <c:v>RÖ: Thorax (Übersichtsaufnahme)</c:v>
                </c:pt>
                <c:pt idx="44">
                  <c:v>CT:</c:v>
                </c:pt>
                <c:pt idx="45">
                  <c:v>RÖ: Thorax (lateral)</c:v>
                </c:pt>
                <c:pt idx="46">
                  <c:v>CT: Abdomen</c:v>
                </c:pt>
                <c:pt idx="47">
                  <c:v>CT: intravenöse Kontrastmittelgabe</c:v>
                </c:pt>
                <c:pt idx="48">
                  <c:v>Durchleuchtung</c:v>
                </c:pt>
                <c:pt idx="49">
                  <c:v>US: Echokardiographie</c:v>
                </c:pt>
                <c:pt idx="50">
                  <c:v>US: Niere</c:v>
                </c:pt>
                <c:pt idx="51">
                  <c:v>US: Becken</c:v>
                </c:pt>
                <c:pt idx="52">
                  <c:v>RÖ: Schulter</c:v>
                </c:pt>
                <c:pt idx="53">
                  <c:v>CT: Becken</c:v>
                </c:pt>
                <c:pt idx="54">
                  <c:v>CT: Harnorgane</c:v>
                </c:pt>
                <c:pt idx="55">
                  <c:v>US: Schilddrüse</c:v>
                </c:pt>
                <c:pt idx="56">
                  <c:v>CT: Oberbauch</c:v>
                </c:pt>
                <c:pt idx="57">
                  <c:v>Angio: CT untere Extremität</c:v>
                </c:pt>
                <c:pt idx="58">
                  <c:v>RÖ: Sinus paranasales</c:v>
                </c:pt>
                <c:pt idx="59">
                  <c:v>RÖ: Becken</c:v>
                </c:pt>
                <c:pt idx="60">
                  <c:v>RÖ: Knie</c:v>
                </c:pt>
                <c:pt idx="61">
                  <c:v>Spirometrie</c:v>
                </c:pt>
                <c:pt idx="62">
                  <c:v>US: Periphere Gefäße</c:v>
                </c:pt>
                <c:pt idx="63">
                  <c:v>RÖ: Hüfte</c:v>
                </c:pt>
                <c:pt idx="64">
                  <c:v>RÖ: Brustkorb</c:v>
                </c:pt>
                <c:pt idx="65">
                  <c:v>Albumin-Spiegel im Plasma</c:v>
                </c:pt>
                <c:pt idx="66">
                  <c:v>Harnsäurebestimmung, Harn</c:v>
                </c:pt>
                <c:pt idx="67">
                  <c:v>Fibrinogenbestimmung</c:v>
                </c:pt>
                <c:pt idx="68">
                  <c:v>Harnstatus, Sedimentuntersuchung, zentrifugiert</c:v>
                </c:pt>
                <c:pt idx="69">
                  <c:v>MR: Cholangio (MRCP)</c:v>
                </c:pt>
                <c:pt idx="70">
                  <c:v>MR: Abdomen</c:v>
                </c:pt>
                <c:pt idx="71">
                  <c:v>ERCP: Galle</c:v>
                </c:pt>
                <c:pt idx="72">
                  <c:v>MR:</c:v>
                </c:pt>
                <c:pt idx="73">
                  <c:v>MR: intravenöse Kontrastmittelgabe</c:v>
                </c:pt>
                <c:pt idx="74">
                  <c:v>US: weibliche Genitale</c:v>
                </c:pt>
                <c:pt idx="75">
                  <c:v>US: (transrektal)</c:v>
                </c:pt>
                <c:pt idx="76">
                  <c:v>RÖ: Gallengang</c:v>
                </c:pt>
                <c:pt idx="77">
                  <c:v>Nuklear: Schilddrüse</c:v>
                </c:pt>
              </c:strCache>
            </c:strRef>
          </c:cat>
          <c:val>
            <c:numRef>
              <c:f>'Galle Übersicht'!$M$2:$M$79</c:f>
              <c:numCache>
                <c:formatCode>General</c:formatCode>
                <c:ptCount val="78"/>
                <c:pt idx="0">
                  <c:v>325</c:v>
                </c:pt>
                <c:pt idx="1">
                  <c:v>325</c:v>
                </c:pt>
                <c:pt idx="2">
                  <c:v>325</c:v>
                </c:pt>
                <c:pt idx="3">
                  <c:v>314</c:v>
                </c:pt>
                <c:pt idx="4">
                  <c:v>231</c:v>
                </c:pt>
                <c:pt idx="5">
                  <c:v>227</c:v>
                </c:pt>
                <c:pt idx="6">
                  <c:v>227</c:v>
                </c:pt>
                <c:pt idx="7">
                  <c:v>226</c:v>
                </c:pt>
                <c:pt idx="8">
                  <c:v>225</c:v>
                </c:pt>
                <c:pt idx="9">
                  <c:v>225</c:v>
                </c:pt>
                <c:pt idx="10">
                  <c:v>225</c:v>
                </c:pt>
                <c:pt idx="11">
                  <c:v>225</c:v>
                </c:pt>
                <c:pt idx="12">
                  <c:v>125</c:v>
                </c:pt>
                <c:pt idx="13">
                  <c:v>121</c:v>
                </c:pt>
                <c:pt idx="14">
                  <c:v>121</c:v>
                </c:pt>
                <c:pt idx="15">
                  <c:v>118</c:v>
                </c:pt>
                <c:pt idx="16">
                  <c:v>117</c:v>
                </c:pt>
                <c:pt idx="17">
                  <c:v>117</c:v>
                </c:pt>
                <c:pt idx="18">
                  <c:v>117</c:v>
                </c:pt>
                <c:pt idx="19">
                  <c:v>115</c:v>
                </c:pt>
                <c:pt idx="20">
                  <c:v>115</c:v>
                </c:pt>
                <c:pt idx="21">
                  <c:v>114</c:v>
                </c:pt>
                <c:pt idx="22">
                  <c:v>111</c:v>
                </c:pt>
                <c:pt idx="23">
                  <c:v>110</c:v>
                </c:pt>
                <c:pt idx="24">
                  <c:v>82</c:v>
                </c:pt>
                <c:pt idx="25">
                  <c:v>82</c:v>
                </c:pt>
                <c:pt idx="26">
                  <c:v>82</c:v>
                </c:pt>
                <c:pt idx="27">
                  <c:v>75</c:v>
                </c:pt>
                <c:pt idx="28">
                  <c:v>74</c:v>
                </c:pt>
                <c:pt idx="29">
                  <c:v>74</c:v>
                </c:pt>
                <c:pt idx="30">
                  <c:v>61</c:v>
                </c:pt>
                <c:pt idx="31">
                  <c:v>60</c:v>
                </c:pt>
                <c:pt idx="32">
                  <c:v>44</c:v>
                </c:pt>
                <c:pt idx="33">
                  <c:v>43</c:v>
                </c:pt>
                <c:pt idx="34">
                  <c:v>43</c:v>
                </c:pt>
                <c:pt idx="35">
                  <c:v>30</c:v>
                </c:pt>
                <c:pt idx="36">
                  <c:v>20</c:v>
                </c:pt>
                <c:pt idx="37">
                  <c:v>16</c:v>
                </c:pt>
                <c:pt idx="38">
                  <c:v>13</c:v>
                </c:pt>
                <c:pt idx="39">
                  <c:v>13</c:v>
                </c:pt>
                <c:pt idx="40">
                  <c:v>58</c:v>
                </c:pt>
                <c:pt idx="41">
                  <c:v>55</c:v>
                </c:pt>
                <c:pt idx="42">
                  <c:v>55</c:v>
                </c:pt>
                <c:pt idx="43">
                  <c:v>16</c:v>
                </c:pt>
                <c:pt idx="44">
                  <c:v>11</c:v>
                </c:pt>
                <c:pt idx="45">
                  <c:v>10</c:v>
                </c:pt>
                <c:pt idx="46">
                  <c:v>9</c:v>
                </c:pt>
                <c:pt idx="47">
                  <c:v>7</c:v>
                </c:pt>
                <c:pt idx="48">
                  <c:v>4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7D-4203-B7E0-704C7B832CCF}"/>
            </c:ext>
          </c:extLst>
        </c:ser>
        <c:ser>
          <c:idx val="2"/>
          <c:order val="2"/>
          <c:tx>
            <c:v/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D23AB741-7AFD-410F-AEED-4CA9B30633D6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AD7D-4203-B7E0-704C7B832CC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F449693-E8FE-47B2-86A9-770974509A32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AD7D-4203-B7E0-704C7B832CC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E7203E84-B443-4F07-8E83-AA07BFE76C07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AD7D-4203-B7E0-704C7B832CC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4D6A6C0F-DFB1-4AED-B307-B303E1FB175B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AD7D-4203-B7E0-704C7B832CCF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C5127AA0-A828-48D9-B154-AB79F3BCCF54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AD7D-4203-B7E0-704C7B832CCF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FA432EEA-E6F2-4D2E-B281-CFDF89628BB5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AD7D-4203-B7E0-704C7B832CCF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82DA072C-7634-4759-9A13-C57D85996080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AD7D-4203-B7E0-704C7B832CCF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5AE16C0F-8255-4681-A4F3-172682AE5B17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AD7D-4203-B7E0-704C7B832CCF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751928F6-45F2-434D-AA2D-4CE093152E0E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AD7D-4203-B7E0-704C7B832CCF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4A3A49DA-E5AC-477B-8167-2D083F60C2D8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AD7D-4203-B7E0-704C7B832CCF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19212231-9430-482C-8BBA-BE6F9F2FABC0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AD7D-4203-B7E0-704C7B832CCF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83D5476B-4FD8-4284-A38D-CD5141A3D40D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AD7D-4203-B7E0-704C7B832CCF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E8688C3F-3EF1-424B-9636-4736248C290F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AD7D-4203-B7E0-704C7B832CCF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884522A9-D88C-4E2A-93E6-BE8446C98CD3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AD7D-4203-B7E0-704C7B832CCF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B42DB4D2-C7C5-4A73-84DA-E5DA78647C46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AD7D-4203-B7E0-704C7B832CCF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7142F27E-95C3-49E4-A95A-7E7D05356848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AD7D-4203-B7E0-704C7B832CCF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9628A80E-3E77-4727-8A0C-42E894BC7DB5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AD7D-4203-B7E0-704C7B832CCF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1DC1CADF-B67C-46CF-9468-4FCBC35E61F9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AD7D-4203-B7E0-704C7B832CCF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919BA4CF-9B24-4EF2-B9B9-E3D48A42118A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AD7D-4203-B7E0-704C7B832CCF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85EAC848-5A7C-4ADE-B4EA-810C1508AC36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AD7D-4203-B7E0-704C7B832CCF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E0CEAB06-7064-43B9-A157-A657342A51FB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6-AD7D-4203-B7E0-704C7B832CCF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F83FFBB4-9AF6-47EE-85C1-94DAE324C68F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7-AD7D-4203-B7E0-704C7B832CCF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61A21763-F0A3-4420-949C-7BF877980156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8-AD7D-4203-B7E0-704C7B832CCF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CD219A50-849E-4152-BCBA-7A579F77DCEA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9-AD7D-4203-B7E0-704C7B832CCF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77AFA091-3465-498F-AFBA-F8A2C43D1FEB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A-AD7D-4203-B7E0-704C7B832CCF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46EA40FA-5DC8-4EEB-8E92-70C08F99A098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B-AD7D-4203-B7E0-704C7B832CCF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D2639B69-7F5D-40E6-B0B8-30015E5C2A96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C-AD7D-4203-B7E0-704C7B832CCF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864C2CDA-39B6-4FA2-B2C8-2C3522586E86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D-AD7D-4203-B7E0-704C7B832CCF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9E983B3D-CB1B-47F4-B9AC-CA3E54A2092A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E-AD7D-4203-B7E0-704C7B832CCF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14927378-DDD4-497A-9541-BB65402C9ACC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F-AD7D-4203-B7E0-704C7B832CCF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6928DEC6-509C-49B3-A205-3B74BC3AD873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0-AD7D-4203-B7E0-704C7B832CCF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2670173B-355E-44CE-9FC6-C52EF94148AE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1-AD7D-4203-B7E0-704C7B832CCF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DDEACF82-AE90-4556-8A3B-4FBD83D21920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2-AD7D-4203-B7E0-704C7B832CCF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BF1CF636-D955-42DA-A786-0FA94E5E6AEE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3-AD7D-4203-B7E0-704C7B832CCF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fld id="{6C262C57-7587-46B9-B208-0E4C27901F04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4-AD7D-4203-B7E0-704C7B832CCF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fld id="{1F56D572-3C66-496C-BC30-FE1F0EF6B62E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5-AD7D-4203-B7E0-704C7B832CCF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fld id="{78382CC1-234A-4688-8D44-1EF5A32004F4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6-AD7D-4203-B7E0-704C7B832CCF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fld id="{A91ECCAE-0B74-4F0C-82BE-53226A5721D4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7-AD7D-4203-B7E0-704C7B832CCF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fld id="{E52B832F-10AD-4144-B891-04BAB1F4871E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8-AD7D-4203-B7E0-704C7B832CCF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fld id="{D8505C7C-D3F3-4993-BBF1-FD5095585FA6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9-AD7D-4203-B7E0-704C7B832CCF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fld id="{2D158066-3256-484D-9A2D-AB64DE2CC861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A-AD7D-4203-B7E0-704C7B832CCF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fld id="{C1589038-0806-43AD-8A15-675083094CD5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B-AD7D-4203-B7E0-704C7B832CCF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fld id="{F6CBD8FF-FBD0-4728-8B1F-C2477918266A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C-AD7D-4203-B7E0-704C7B832CCF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fld id="{6932E468-B380-48B8-94E6-4EA5902C28B5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D-AD7D-4203-B7E0-704C7B832CCF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fld id="{574A599D-F3D8-43ED-A37A-46FDC9BB77A0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E-AD7D-4203-B7E0-704C7B832CCF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fld id="{F85F0755-BCBD-4E49-963F-F279541EEA78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F-AD7D-4203-B7E0-704C7B832CCF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fld id="{E78C5F08-3361-4E3A-B3E7-D2478AAA6327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0-AD7D-4203-B7E0-704C7B832CCF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fld id="{5133671F-9A1C-41B5-B317-F386CEEEC2E5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1-AD7D-4203-B7E0-704C7B832CCF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fld id="{17B79543-2986-4BBC-8D3E-F8F7313492EC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2-AD7D-4203-B7E0-704C7B832CCF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fld id="{BBB5BC5F-BE19-431F-9B34-45A6DCFF3F23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3-AD7D-4203-B7E0-704C7B832CCF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fld id="{EA10C09F-9F59-4C4E-9AE9-555EFEF22F6B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4-AD7D-4203-B7E0-704C7B832CCF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fld id="{62924327-5A60-4861-835F-CDDBEE761B46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5-AD7D-4203-B7E0-704C7B832CCF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fld id="{6D18E762-99E9-42F4-94C7-B9F7087463F3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6-AD7D-4203-B7E0-704C7B832CCF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fld id="{03701EC1-4304-4B00-90E8-A52F65E7558D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7-AD7D-4203-B7E0-704C7B832CCF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fld id="{AB0057D1-B730-4282-B3CA-40F9EA57BC70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8-AD7D-4203-B7E0-704C7B832CCF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fld id="{EC8E013E-AD13-42A5-BB5D-97944F532829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9-AD7D-4203-B7E0-704C7B832CCF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fld id="{2DC0AC80-72DF-475F-B596-A110A57B7557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A-AD7D-4203-B7E0-704C7B832CCF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fld id="{086072DC-5915-4248-8FD8-FB52C2CC0F33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B-AD7D-4203-B7E0-704C7B832CCF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fld id="{98C8E787-1410-461E-B9B8-7CA0A66999CD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C-AD7D-4203-B7E0-704C7B832CCF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fld id="{B0765B06-708D-47A1-B9EC-B78B397882CC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D-AD7D-4203-B7E0-704C7B832CCF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fld id="{C0FE3D68-5E26-43E0-9F3D-516A052D38CA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E-AD7D-4203-B7E0-704C7B832CCF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fld id="{96F5E923-7AA1-4C2F-B240-194D43C458EB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F-AD7D-4203-B7E0-704C7B832CCF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fld id="{C777D59C-9BD1-4021-BF77-BD46245EB5E5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0-AD7D-4203-B7E0-704C7B832CCF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fld id="{FEF08570-22CF-4858-8D64-75F36FC296CF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1-AD7D-4203-B7E0-704C7B832CCF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fld id="{398A476D-4F28-4313-84D6-17EC1599E8CA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2-AD7D-4203-B7E0-704C7B832CCF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fld id="{809FB36D-A1E6-4E7B-B950-4FCAB403F51F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3-AD7D-4203-B7E0-704C7B832CCF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fld id="{3B83C130-1073-4713-921B-50472A098795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4-AD7D-4203-B7E0-704C7B832CCF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fld id="{44943A77-154C-4AD0-B5A5-BB39CB71034A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5-AD7D-4203-B7E0-704C7B832CCF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fld id="{13F2C04D-06F1-45A2-9679-95495740E052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6-AD7D-4203-B7E0-704C7B832CCF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fld id="{BC82EA64-2D55-4D95-8641-FBC0F522C363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7-AD7D-4203-B7E0-704C7B832CCF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fld id="{9576AC18-84E0-4D67-8DBB-E61A60B546F3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8-AD7D-4203-B7E0-704C7B832CCF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fld id="{102040EC-7A19-4921-BC16-084233E2D123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9-AD7D-4203-B7E0-704C7B832CCF}"/>
                </c:ext>
              </c:extLst>
            </c:dLbl>
            <c:dLbl>
              <c:idx val="72"/>
              <c:tx>
                <c:rich>
                  <a:bodyPr/>
                  <a:lstStyle/>
                  <a:p>
                    <a:fld id="{7AEDCF6A-29E1-4E3C-869F-4FA5EB4187A8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A-AD7D-4203-B7E0-704C7B832CCF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fld id="{86BA3978-41DD-433C-AE3A-1A0EAA65D688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B-AD7D-4203-B7E0-704C7B832CCF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fld id="{E37AF1AA-AA2D-417E-82E3-37293EB5F893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C-AD7D-4203-B7E0-704C7B832CCF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fld id="{F79E2C07-6976-4EDF-837A-5311D0B016A0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D-AD7D-4203-B7E0-704C7B832CCF}"/>
                </c:ext>
              </c:extLst>
            </c:dLbl>
            <c:dLbl>
              <c:idx val="76"/>
              <c:tx>
                <c:rich>
                  <a:bodyPr/>
                  <a:lstStyle/>
                  <a:p>
                    <a:fld id="{D40E1856-AA08-4BC2-A83B-3FB82C6B54A2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E-AD7D-4203-B7E0-704C7B832CCF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fld id="{37A1CC37-0915-47AF-B7B1-1EE24DA158C3}" type="CELLRANGE">
                      <a:rPr lang="en-US"/>
                      <a:pPr/>
                      <a:t>[ZELLBEREICH]</a:t>
                    </a:fld>
                    <a:endParaRPr lang="de-A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F-AD7D-4203-B7E0-704C7B832CCF}"/>
                </c:ext>
              </c:extLst>
            </c:dLbl>
            <c:spPr>
              <a:solidFill>
                <a:schemeClr val="bg1">
                  <a:alpha val="47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cust"/>
            <c:noEndCap val="1"/>
            <c:plus>
              <c:numRef>
                <c:f>'Galle Übersicht'!$R$2:$R$79</c:f>
                <c:numCache>
                  <c:formatCode>General</c:formatCode>
                  <c:ptCount val="78"/>
                  <c:pt idx="0">
                    <c:v>15.749999999999998</c:v>
                  </c:pt>
                  <c:pt idx="1">
                    <c:v>15.749999999999998</c:v>
                  </c:pt>
                  <c:pt idx="2">
                    <c:v>81.899999999999991</c:v>
                  </c:pt>
                  <c:pt idx="3">
                    <c:v>45.849999999999994</c:v>
                  </c:pt>
                  <c:pt idx="4">
                    <c:v>13.649999999999999</c:v>
                  </c:pt>
                  <c:pt idx="5">
                    <c:v>5.25</c:v>
                  </c:pt>
                  <c:pt idx="6">
                    <c:v>7.35</c:v>
                  </c:pt>
                  <c:pt idx="7">
                    <c:v>9.4499999999999993</c:v>
                  </c:pt>
                  <c:pt idx="8">
                    <c:v>9.7999999999999989</c:v>
                  </c:pt>
                  <c:pt idx="9">
                    <c:v>10.149999999999999</c:v>
                  </c:pt>
                  <c:pt idx="10">
                    <c:v>6.6499999999999995</c:v>
                  </c:pt>
                  <c:pt idx="11">
                    <c:v>78.75</c:v>
                  </c:pt>
                  <c:pt idx="12">
                    <c:v>28.349999999999998</c:v>
                  </c:pt>
                  <c:pt idx="13">
                    <c:v>36.049999999999997</c:v>
                  </c:pt>
                  <c:pt idx="14">
                    <c:v>6.6499999999999995</c:v>
                  </c:pt>
                  <c:pt idx="15">
                    <c:v>11.899999999999999</c:v>
                  </c:pt>
                  <c:pt idx="16">
                    <c:v>15.749999999999998</c:v>
                  </c:pt>
                  <c:pt idx="17">
                    <c:v>15.749999999999998</c:v>
                  </c:pt>
                  <c:pt idx="18">
                    <c:v>15.749999999999998</c:v>
                  </c:pt>
                  <c:pt idx="19">
                    <c:v>1.4</c:v>
                  </c:pt>
                  <c:pt idx="20">
                    <c:v>19.25</c:v>
                  </c:pt>
                  <c:pt idx="21">
                    <c:v>19.599999999999998</c:v>
                  </c:pt>
                  <c:pt idx="22">
                    <c:v>22.049999999999997</c:v>
                  </c:pt>
                  <c:pt idx="23">
                    <c:v>29.4</c:v>
                  </c:pt>
                  <c:pt idx="24">
                    <c:v>10.85</c:v>
                  </c:pt>
                  <c:pt idx="25">
                    <c:v>10.85</c:v>
                  </c:pt>
                  <c:pt idx="26">
                    <c:v>10.85</c:v>
                  </c:pt>
                  <c:pt idx="27">
                    <c:v>16.45</c:v>
                  </c:pt>
                  <c:pt idx="28">
                    <c:v>11.549999999999999</c:v>
                  </c:pt>
                  <c:pt idx="29">
                    <c:v>16.799999999999997</c:v>
                  </c:pt>
                  <c:pt idx="30">
                    <c:v>3.5</c:v>
                  </c:pt>
                  <c:pt idx="31">
                    <c:v>13.649999999999999</c:v>
                  </c:pt>
                  <c:pt idx="32">
                    <c:v>7.6999999999999993</c:v>
                  </c:pt>
                  <c:pt idx="33">
                    <c:v>8.3999999999999986</c:v>
                  </c:pt>
                  <c:pt idx="34">
                    <c:v>8.3999999999999986</c:v>
                  </c:pt>
                  <c:pt idx="35">
                    <c:v>5.25</c:v>
                  </c:pt>
                  <c:pt idx="36">
                    <c:v>7</c:v>
                  </c:pt>
                  <c:pt idx="37">
                    <c:v>19.25</c:v>
                  </c:pt>
                  <c:pt idx="38">
                    <c:v>4.55</c:v>
                  </c:pt>
                  <c:pt idx="39">
                    <c:v>4.55</c:v>
                  </c:pt>
                  <c:pt idx="40">
                    <c:v>7.35</c:v>
                  </c:pt>
                  <c:pt idx="41">
                    <c:v>6.3</c:v>
                  </c:pt>
                  <c:pt idx="42">
                    <c:v>6.3</c:v>
                  </c:pt>
                  <c:pt idx="43">
                    <c:v>0.35</c:v>
                  </c:pt>
                  <c:pt idx="44">
                    <c:v>1.0499999999999998</c:v>
                  </c:pt>
                  <c:pt idx="45">
                    <c:v>1.75</c:v>
                  </c:pt>
                  <c:pt idx="46">
                    <c:v>1.75</c:v>
                  </c:pt>
                  <c:pt idx="47">
                    <c:v>1.75</c:v>
                  </c:pt>
                  <c:pt idx="48">
                    <c:v>1.4</c:v>
                  </c:pt>
                  <c:pt idx="49">
                    <c:v>1.0499999999999998</c:v>
                  </c:pt>
                  <c:pt idx="50">
                    <c:v>0</c:v>
                  </c:pt>
                  <c:pt idx="51">
                    <c:v>0.35</c:v>
                  </c:pt>
                  <c:pt idx="52">
                    <c:v>1.0499999999999998</c:v>
                  </c:pt>
                  <c:pt idx="53">
                    <c:v>0.7</c:v>
                  </c:pt>
                  <c:pt idx="54">
                    <c:v>0.7</c:v>
                  </c:pt>
                  <c:pt idx="55">
                    <c:v>0.7</c:v>
                  </c:pt>
                  <c:pt idx="56">
                    <c:v>0.7</c:v>
                  </c:pt>
                  <c:pt idx="57">
                    <c:v>0.35</c:v>
                  </c:pt>
                  <c:pt idx="58">
                    <c:v>0.35</c:v>
                  </c:pt>
                  <c:pt idx="59">
                    <c:v>0.35</c:v>
                  </c:pt>
                  <c:pt idx="60">
                    <c:v>0.35</c:v>
                  </c:pt>
                  <c:pt idx="61">
                    <c:v>0.35</c:v>
                  </c:pt>
                  <c:pt idx="62">
                    <c:v>0</c:v>
                  </c:pt>
                  <c:pt idx="63">
                    <c:v>0.35</c:v>
                  </c:pt>
                  <c:pt idx="64">
                    <c:v>0.35</c:v>
                  </c:pt>
                  <c:pt idx="65">
                    <c:v>14</c:v>
                  </c:pt>
                  <c:pt idx="66">
                    <c:v>13.299999999999999</c:v>
                  </c:pt>
                  <c:pt idx="67">
                    <c:v>5.9499999999999993</c:v>
                  </c:pt>
                  <c:pt idx="68">
                    <c:v>5.6</c:v>
                  </c:pt>
                  <c:pt idx="69">
                    <c:v>1.4</c:v>
                  </c:pt>
                  <c:pt idx="70">
                    <c:v>0.35</c:v>
                  </c:pt>
                  <c:pt idx="71">
                    <c:v>0.35</c:v>
                  </c:pt>
                  <c:pt idx="72">
                    <c:v>0.35</c:v>
                  </c:pt>
                  <c:pt idx="73">
                    <c:v>0.35</c:v>
                  </c:pt>
                  <c:pt idx="74">
                    <c:v>0.35</c:v>
                  </c:pt>
                  <c:pt idx="75">
                    <c:v>0.35</c:v>
                  </c:pt>
                  <c:pt idx="76">
                    <c:v>0.35</c:v>
                  </c:pt>
                  <c:pt idx="77">
                    <c:v>0.35</c:v>
                  </c:pt>
                </c:numCache>
              </c:numRef>
            </c:plus>
            <c:minus>
              <c:numRef>
                <c:f>'Galle Übersicht'!$R$2:$R$79</c:f>
                <c:numCache>
                  <c:formatCode>General</c:formatCode>
                  <c:ptCount val="78"/>
                  <c:pt idx="0">
                    <c:v>15.749999999999998</c:v>
                  </c:pt>
                  <c:pt idx="1">
                    <c:v>15.749999999999998</c:v>
                  </c:pt>
                  <c:pt idx="2">
                    <c:v>81.899999999999991</c:v>
                  </c:pt>
                  <c:pt idx="3">
                    <c:v>45.849999999999994</c:v>
                  </c:pt>
                  <c:pt idx="4">
                    <c:v>13.649999999999999</c:v>
                  </c:pt>
                  <c:pt idx="5">
                    <c:v>5.25</c:v>
                  </c:pt>
                  <c:pt idx="6">
                    <c:v>7.35</c:v>
                  </c:pt>
                  <c:pt idx="7">
                    <c:v>9.4499999999999993</c:v>
                  </c:pt>
                  <c:pt idx="8">
                    <c:v>9.7999999999999989</c:v>
                  </c:pt>
                  <c:pt idx="9">
                    <c:v>10.149999999999999</c:v>
                  </c:pt>
                  <c:pt idx="10">
                    <c:v>6.6499999999999995</c:v>
                  </c:pt>
                  <c:pt idx="11">
                    <c:v>78.75</c:v>
                  </c:pt>
                  <c:pt idx="12">
                    <c:v>28.349999999999998</c:v>
                  </c:pt>
                  <c:pt idx="13">
                    <c:v>36.049999999999997</c:v>
                  </c:pt>
                  <c:pt idx="14">
                    <c:v>6.6499999999999995</c:v>
                  </c:pt>
                  <c:pt idx="15">
                    <c:v>11.899999999999999</c:v>
                  </c:pt>
                  <c:pt idx="16">
                    <c:v>15.749999999999998</c:v>
                  </c:pt>
                  <c:pt idx="17">
                    <c:v>15.749999999999998</c:v>
                  </c:pt>
                  <c:pt idx="18">
                    <c:v>15.749999999999998</c:v>
                  </c:pt>
                  <c:pt idx="19">
                    <c:v>1.4</c:v>
                  </c:pt>
                  <c:pt idx="20">
                    <c:v>19.25</c:v>
                  </c:pt>
                  <c:pt idx="21">
                    <c:v>19.599999999999998</c:v>
                  </c:pt>
                  <c:pt idx="22">
                    <c:v>22.049999999999997</c:v>
                  </c:pt>
                  <c:pt idx="23">
                    <c:v>29.4</c:v>
                  </c:pt>
                  <c:pt idx="24">
                    <c:v>10.85</c:v>
                  </c:pt>
                  <c:pt idx="25">
                    <c:v>10.85</c:v>
                  </c:pt>
                  <c:pt idx="26">
                    <c:v>10.85</c:v>
                  </c:pt>
                  <c:pt idx="27">
                    <c:v>16.45</c:v>
                  </c:pt>
                  <c:pt idx="28">
                    <c:v>11.549999999999999</c:v>
                  </c:pt>
                  <c:pt idx="29">
                    <c:v>16.799999999999997</c:v>
                  </c:pt>
                  <c:pt idx="30">
                    <c:v>3.5</c:v>
                  </c:pt>
                  <c:pt idx="31">
                    <c:v>13.649999999999999</c:v>
                  </c:pt>
                  <c:pt idx="32">
                    <c:v>7.6999999999999993</c:v>
                  </c:pt>
                  <c:pt idx="33">
                    <c:v>8.3999999999999986</c:v>
                  </c:pt>
                  <c:pt idx="34">
                    <c:v>8.3999999999999986</c:v>
                  </c:pt>
                  <c:pt idx="35">
                    <c:v>5.25</c:v>
                  </c:pt>
                  <c:pt idx="36">
                    <c:v>7</c:v>
                  </c:pt>
                  <c:pt idx="37">
                    <c:v>19.25</c:v>
                  </c:pt>
                  <c:pt idx="38">
                    <c:v>4.55</c:v>
                  </c:pt>
                  <c:pt idx="39">
                    <c:v>4.55</c:v>
                  </c:pt>
                  <c:pt idx="40">
                    <c:v>7.35</c:v>
                  </c:pt>
                  <c:pt idx="41">
                    <c:v>6.3</c:v>
                  </c:pt>
                  <c:pt idx="42">
                    <c:v>6.3</c:v>
                  </c:pt>
                  <c:pt idx="43">
                    <c:v>0.35</c:v>
                  </c:pt>
                  <c:pt idx="44">
                    <c:v>1.0499999999999998</c:v>
                  </c:pt>
                  <c:pt idx="45">
                    <c:v>1.75</c:v>
                  </c:pt>
                  <c:pt idx="46">
                    <c:v>1.75</c:v>
                  </c:pt>
                  <c:pt idx="47">
                    <c:v>1.75</c:v>
                  </c:pt>
                  <c:pt idx="48">
                    <c:v>1.4</c:v>
                  </c:pt>
                  <c:pt idx="49">
                    <c:v>1.0499999999999998</c:v>
                  </c:pt>
                  <c:pt idx="50">
                    <c:v>0</c:v>
                  </c:pt>
                  <c:pt idx="51">
                    <c:v>0.35</c:v>
                  </c:pt>
                  <c:pt idx="52">
                    <c:v>1.0499999999999998</c:v>
                  </c:pt>
                  <c:pt idx="53">
                    <c:v>0.7</c:v>
                  </c:pt>
                  <c:pt idx="54">
                    <c:v>0.7</c:v>
                  </c:pt>
                  <c:pt idx="55">
                    <c:v>0.7</c:v>
                  </c:pt>
                  <c:pt idx="56">
                    <c:v>0.7</c:v>
                  </c:pt>
                  <c:pt idx="57">
                    <c:v>0.35</c:v>
                  </c:pt>
                  <c:pt idx="58">
                    <c:v>0.35</c:v>
                  </c:pt>
                  <c:pt idx="59">
                    <c:v>0.35</c:v>
                  </c:pt>
                  <c:pt idx="60">
                    <c:v>0.35</c:v>
                  </c:pt>
                  <c:pt idx="61">
                    <c:v>0.35</c:v>
                  </c:pt>
                  <c:pt idx="62">
                    <c:v>0</c:v>
                  </c:pt>
                  <c:pt idx="63">
                    <c:v>0.35</c:v>
                  </c:pt>
                  <c:pt idx="64">
                    <c:v>0.35</c:v>
                  </c:pt>
                  <c:pt idx="65">
                    <c:v>14</c:v>
                  </c:pt>
                  <c:pt idx="66">
                    <c:v>13.299999999999999</c:v>
                  </c:pt>
                  <c:pt idx="67">
                    <c:v>5.9499999999999993</c:v>
                  </c:pt>
                  <c:pt idx="68">
                    <c:v>5.6</c:v>
                  </c:pt>
                  <c:pt idx="69">
                    <c:v>1.4</c:v>
                  </c:pt>
                  <c:pt idx="70">
                    <c:v>0.35</c:v>
                  </c:pt>
                  <c:pt idx="71">
                    <c:v>0.35</c:v>
                  </c:pt>
                  <c:pt idx="72">
                    <c:v>0.35</c:v>
                  </c:pt>
                  <c:pt idx="73">
                    <c:v>0.35</c:v>
                  </c:pt>
                  <c:pt idx="74">
                    <c:v>0.35</c:v>
                  </c:pt>
                  <c:pt idx="75">
                    <c:v>0.35</c:v>
                  </c:pt>
                  <c:pt idx="76">
                    <c:v>0.35</c:v>
                  </c:pt>
                  <c:pt idx="77">
                    <c:v>0.35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  <a:headEnd type="none" w="med" len="lg"/>
                <a:tailEnd type="triangle" w="med" len="lg"/>
              </a:ln>
              <a:effectLst/>
            </c:spPr>
          </c:errBars>
          <c:cat>
            <c:strRef>
              <c:f>'Galle Übersicht'!$I$2:$I$88</c:f>
              <c:strCache>
                <c:ptCount val="78"/>
                <c:pt idx="0">
                  <c:v>Thrombozytenzählung</c:v>
                </c:pt>
                <c:pt idx="1">
                  <c:v>Bestimmung der Erythrozyten-Verteilungsbreite</c:v>
                </c:pt>
                <c:pt idx="2">
                  <c:v>Blutkörperchenzählung, automatisiert</c:v>
                </c:pt>
                <c:pt idx="3">
                  <c:v>Bestimmung des prozentualen Anteils der Leukozyten im Differenzialblutbild</c:v>
                </c:pt>
                <c:pt idx="4">
                  <c:v>Bestimmung von C-reaktivem Protein</c:v>
                </c:pt>
                <c:pt idx="5">
                  <c:v>Laktatdehydrogenasebestimmung</c:v>
                </c:pt>
                <c:pt idx="6">
                  <c:v>Aspartattransaminasebestimmung im Plasma</c:v>
                </c:pt>
                <c:pt idx="7">
                  <c:v>Gammaglutamyltransferasebestimmung im Plasma</c:v>
                </c:pt>
                <c:pt idx="8">
                  <c:v>alkalische-Phosphatase-Spiegel im Plasma</c:v>
                </c:pt>
                <c:pt idx="9">
                  <c:v>Bestimmung des Gesamtbilirubins im Plasma</c:v>
                </c:pt>
                <c:pt idx="10">
                  <c:v>Alaninaminotransferase-Spiegel im Plasma</c:v>
                </c:pt>
                <c:pt idx="11">
                  <c:v>Acetylcholinesterasebestimmung</c:v>
                </c:pt>
                <c:pt idx="12">
                  <c:v>Gesamtproteinbestimmung im Plasma</c:v>
                </c:pt>
                <c:pt idx="13">
                  <c:v>Calculation of international normalized ratio (procedure)</c:v>
                </c:pt>
                <c:pt idx="14">
                  <c:v>Prothrombinzeit</c:v>
                </c:pt>
                <c:pt idx="15">
                  <c:v>Kalium-Spiegel im Plasma</c:v>
                </c:pt>
                <c:pt idx="16">
                  <c:v>Natriumbestimmung im Plasma</c:v>
                </c:pt>
                <c:pt idx="17">
                  <c:v>Chloridbestimmung</c:v>
                </c:pt>
                <c:pt idx="18">
                  <c:v>Kalziumbestimmung albuminkorrigiert</c:v>
                </c:pt>
                <c:pt idx="19">
                  <c:v>Harnstoffbestimmung im Harn</c:v>
                </c:pt>
                <c:pt idx="20">
                  <c:v>Kreatininbestimmung</c:v>
                </c:pt>
                <c:pt idx="21">
                  <c:v>gfr/mdrd</c:v>
                </c:pt>
                <c:pt idx="22">
                  <c:v>partielle Thromboplastinzeit, aktiviert</c:v>
                </c:pt>
                <c:pt idx="23">
                  <c:v>Glukosebestimmung, Blut</c:v>
                </c:pt>
                <c:pt idx="24">
                  <c:v>Rhesus-Blutgruppenbestimmung</c:v>
                </c:pt>
                <c:pt idx="25">
                  <c:v>Blutgruppenantikörper-Screening</c:v>
                </c:pt>
                <c:pt idx="26">
                  <c:v>AB0-Blutgruppenbestimmung</c:v>
                </c:pt>
                <c:pt idx="27">
                  <c:v>Amylase-Spiegel im Plasma</c:v>
                </c:pt>
                <c:pt idx="28">
                  <c:v>Harnstreifen</c:v>
                </c:pt>
                <c:pt idx="29">
                  <c:v>Lipasebestimmung</c:v>
                </c:pt>
                <c:pt idx="30">
                  <c:v>Bestimmung von konjugiertem Bilirubin im Plasma</c:v>
                </c:pt>
                <c:pt idx="31">
                  <c:v>Bestimmung von unkonjugiertem Bilirubin im Plasma</c:v>
                </c:pt>
                <c:pt idx="32">
                  <c:v>Blutgruppentypisierung, Rh-Phänotypisierung</c:v>
                </c:pt>
                <c:pt idx="33">
                  <c:v>Blutgruppentypisierung</c:v>
                </c:pt>
                <c:pt idx="34">
                  <c:v>Erythrozytenantikörpernachweis</c:v>
                </c:pt>
                <c:pt idx="35">
                  <c:v>Blutgruppentypisierung, Rh-Phänotypisierung, großes E</c:v>
                </c:pt>
                <c:pt idx="36">
                  <c:v>Blutgruppentypisierung, Rh-Phänotypisierung, kleines c</c:v>
                </c:pt>
                <c:pt idx="37">
                  <c:v>TSH-Bestimmung im Serum</c:v>
                </c:pt>
                <c:pt idx="38">
                  <c:v>Bestimmung von freiem Triiodthyronin im Serum</c:v>
                </c:pt>
                <c:pt idx="39">
                  <c:v>freies-T4-Bestimmung im Serum</c:v>
                </c:pt>
                <c:pt idx="40">
                  <c:v>US: Oberbauch</c:v>
                </c:pt>
                <c:pt idx="41">
                  <c:v>US: Unterbauch (transabdominell)</c:v>
                </c:pt>
                <c:pt idx="42">
                  <c:v>US: Retroperitoneum</c:v>
                </c:pt>
                <c:pt idx="43">
                  <c:v>RÖ: Thorax (Übersichtsaufnahme)</c:v>
                </c:pt>
                <c:pt idx="44">
                  <c:v>CT:</c:v>
                </c:pt>
                <c:pt idx="45">
                  <c:v>RÖ: Thorax (lateral)</c:v>
                </c:pt>
                <c:pt idx="46">
                  <c:v>CT: Abdomen</c:v>
                </c:pt>
                <c:pt idx="47">
                  <c:v>CT: intravenöse Kontrastmittelgabe</c:v>
                </c:pt>
                <c:pt idx="48">
                  <c:v>Durchleuchtung</c:v>
                </c:pt>
                <c:pt idx="49">
                  <c:v>US: Echokardiographie</c:v>
                </c:pt>
                <c:pt idx="50">
                  <c:v>US: Niere</c:v>
                </c:pt>
                <c:pt idx="51">
                  <c:v>US: Becken</c:v>
                </c:pt>
                <c:pt idx="52">
                  <c:v>RÖ: Schulter</c:v>
                </c:pt>
                <c:pt idx="53">
                  <c:v>CT: Becken</c:v>
                </c:pt>
                <c:pt idx="54">
                  <c:v>CT: Harnorgane</c:v>
                </c:pt>
                <c:pt idx="55">
                  <c:v>US: Schilddrüse</c:v>
                </c:pt>
                <c:pt idx="56">
                  <c:v>CT: Oberbauch</c:v>
                </c:pt>
                <c:pt idx="57">
                  <c:v>Angio: CT untere Extremität</c:v>
                </c:pt>
                <c:pt idx="58">
                  <c:v>RÖ: Sinus paranasales</c:v>
                </c:pt>
                <c:pt idx="59">
                  <c:v>RÖ: Becken</c:v>
                </c:pt>
                <c:pt idx="60">
                  <c:v>RÖ: Knie</c:v>
                </c:pt>
                <c:pt idx="61">
                  <c:v>Spirometrie</c:v>
                </c:pt>
                <c:pt idx="62">
                  <c:v>US: Periphere Gefäße</c:v>
                </c:pt>
                <c:pt idx="63">
                  <c:v>RÖ: Hüfte</c:v>
                </c:pt>
                <c:pt idx="64">
                  <c:v>RÖ: Brustkorb</c:v>
                </c:pt>
                <c:pt idx="65">
                  <c:v>Albumin-Spiegel im Plasma</c:v>
                </c:pt>
                <c:pt idx="66">
                  <c:v>Harnsäurebestimmung, Harn</c:v>
                </c:pt>
                <c:pt idx="67">
                  <c:v>Fibrinogenbestimmung</c:v>
                </c:pt>
                <c:pt idx="68">
                  <c:v>Harnstatus, Sedimentuntersuchung, zentrifugiert</c:v>
                </c:pt>
                <c:pt idx="69">
                  <c:v>MR: Cholangio (MRCP)</c:v>
                </c:pt>
                <c:pt idx="70">
                  <c:v>MR: Abdomen</c:v>
                </c:pt>
                <c:pt idx="71">
                  <c:v>ERCP: Galle</c:v>
                </c:pt>
                <c:pt idx="72">
                  <c:v>MR:</c:v>
                </c:pt>
                <c:pt idx="73">
                  <c:v>MR: intravenöse Kontrastmittelgabe</c:v>
                </c:pt>
                <c:pt idx="74">
                  <c:v>US: weibliche Genitale</c:v>
                </c:pt>
                <c:pt idx="75">
                  <c:v>US: (transrektal)</c:v>
                </c:pt>
                <c:pt idx="76">
                  <c:v>RÖ: Gallengang</c:v>
                </c:pt>
                <c:pt idx="77">
                  <c:v>Nuklear: Schilddrüse</c:v>
                </c:pt>
              </c:strCache>
            </c:strRef>
          </c:cat>
          <c:val>
            <c:numRef>
              <c:f>'Galle Übersicht'!$N$2:$N$79</c:f>
              <c:numCache>
                <c:formatCode>General</c:formatCode>
                <c:ptCount val="78"/>
                <c:pt idx="0">
                  <c:v>302.5</c:v>
                </c:pt>
                <c:pt idx="1">
                  <c:v>302.5</c:v>
                </c:pt>
                <c:pt idx="2">
                  <c:v>208</c:v>
                </c:pt>
                <c:pt idx="3">
                  <c:v>248.5</c:v>
                </c:pt>
                <c:pt idx="4">
                  <c:v>250.5</c:v>
                </c:pt>
                <c:pt idx="5">
                  <c:v>234.5</c:v>
                </c:pt>
                <c:pt idx="6">
                  <c:v>237.5</c:v>
                </c:pt>
                <c:pt idx="7">
                  <c:v>239.5</c:v>
                </c:pt>
                <c:pt idx="8">
                  <c:v>239</c:v>
                </c:pt>
                <c:pt idx="9">
                  <c:v>239.5</c:v>
                </c:pt>
                <c:pt idx="10">
                  <c:v>234.5</c:v>
                </c:pt>
                <c:pt idx="11">
                  <c:v>112.5</c:v>
                </c:pt>
                <c:pt idx="12">
                  <c:v>84.5</c:v>
                </c:pt>
                <c:pt idx="13">
                  <c:v>69.5</c:v>
                </c:pt>
                <c:pt idx="14">
                  <c:v>111.5</c:v>
                </c:pt>
                <c:pt idx="15">
                  <c:v>135</c:v>
                </c:pt>
                <c:pt idx="16">
                  <c:v>139.5</c:v>
                </c:pt>
                <c:pt idx="17">
                  <c:v>139.5</c:v>
                </c:pt>
                <c:pt idx="18">
                  <c:v>139.5</c:v>
                </c:pt>
                <c:pt idx="19">
                  <c:v>117</c:v>
                </c:pt>
                <c:pt idx="20">
                  <c:v>142.5</c:v>
                </c:pt>
                <c:pt idx="21">
                  <c:v>142</c:v>
                </c:pt>
                <c:pt idx="22">
                  <c:v>79.5</c:v>
                </c:pt>
                <c:pt idx="23">
                  <c:v>68</c:v>
                </c:pt>
                <c:pt idx="24">
                  <c:v>66.5</c:v>
                </c:pt>
                <c:pt idx="25">
                  <c:v>66.5</c:v>
                </c:pt>
                <c:pt idx="26">
                  <c:v>66.5</c:v>
                </c:pt>
                <c:pt idx="27">
                  <c:v>98.5</c:v>
                </c:pt>
                <c:pt idx="28">
                  <c:v>57.5</c:v>
                </c:pt>
                <c:pt idx="29">
                  <c:v>98</c:v>
                </c:pt>
                <c:pt idx="30">
                  <c:v>56</c:v>
                </c:pt>
                <c:pt idx="31">
                  <c:v>40.5</c:v>
                </c:pt>
                <c:pt idx="32">
                  <c:v>33</c:v>
                </c:pt>
                <c:pt idx="33">
                  <c:v>31</c:v>
                </c:pt>
                <c:pt idx="34">
                  <c:v>31</c:v>
                </c:pt>
                <c:pt idx="35">
                  <c:v>22.5</c:v>
                </c:pt>
                <c:pt idx="36">
                  <c:v>10</c:v>
                </c:pt>
                <c:pt idx="37">
                  <c:v>43.5</c:v>
                </c:pt>
                <c:pt idx="38">
                  <c:v>6.5</c:v>
                </c:pt>
                <c:pt idx="39">
                  <c:v>6.5</c:v>
                </c:pt>
                <c:pt idx="40">
                  <c:v>47.5</c:v>
                </c:pt>
                <c:pt idx="41">
                  <c:v>46</c:v>
                </c:pt>
                <c:pt idx="42">
                  <c:v>46</c:v>
                </c:pt>
                <c:pt idx="43">
                  <c:v>15.5</c:v>
                </c:pt>
                <c:pt idx="44">
                  <c:v>12.5</c:v>
                </c:pt>
                <c:pt idx="45">
                  <c:v>7.5</c:v>
                </c:pt>
                <c:pt idx="46">
                  <c:v>11.5</c:v>
                </c:pt>
                <c:pt idx="47">
                  <c:v>9.5</c:v>
                </c:pt>
                <c:pt idx="48">
                  <c:v>2</c:v>
                </c:pt>
                <c:pt idx="49">
                  <c:v>1.5</c:v>
                </c:pt>
                <c:pt idx="50">
                  <c:v>3</c:v>
                </c:pt>
                <c:pt idx="51">
                  <c:v>3.5</c:v>
                </c:pt>
                <c:pt idx="52">
                  <c:v>1.5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0.5</c:v>
                </c:pt>
                <c:pt idx="61">
                  <c:v>0.5</c:v>
                </c:pt>
                <c:pt idx="62">
                  <c:v>1</c:v>
                </c:pt>
                <c:pt idx="63">
                  <c:v>0.5</c:v>
                </c:pt>
                <c:pt idx="64">
                  <c:v>0.5</c:v>
                </c:pt>
                <c:pt idx="65">
                  <c:v>20</c:v>
                </c:pt>
                <c:pt idx="66">
                  <c:v>19</c:v>
                </c:pt>
                <c:pt idx="67">
                  <c:v>8.5</c:v>
                </c:pt>
                <c:pt idx="68">
                  <c:v>8</c:v>
                </c:pt>
                <c:pt idx="69">
                  <c:v>2</c:v>
                </c:pt>
                <c:pt idx="70">
                  <c:v>0.5</c:v>
                </c:pt>
                <c:pt idx="71">
                  <c:v>0.5</c:v>
                </c:pt>
                <c:pt idx="72">
                  <c:v>0.5</c:v>
                </c:pt>
                <c:pt idx="73">
                  <c:v>0.5</c:v>
                </c:pt>
                <c:pt idx="74">
                  <c:v>0.5</c:v>
                </c:pt>
                <c:pt idx="75">
                  <c:v>0.5</c:v>
                </c:pt>
                <c:pt idx="76">
                  <c:v>0.5</c:v>
                </c:pt>
                <c:pt idx="77">
                  <c:v>0.5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'Galle Übersicht'!$O$2:$O$88</c15:f>
                <c15:dlblRangeCache>
                  <c:ptCount val="87"/>
                  <c:pt idx="0">
                    <c:v>45</c:v>
                  </c:pt>
                  <c:pt idx="1">
                    <c:v>45</c:v>
                  </c:pt>
                  <c:pt idx="2">
                    <c:v>234</c:v>
                  </c:pt>
                  <c:pt idx="3">
                    <c:v>131</c:v>
                  </c:pt>
                  <c:pt idx="4">
                    <c:v>39</c:v>
                  </c:pt>
                  <c:pt idx="5">
                    <c:v>15</c:v>
                  </c:pt>
                  <c:pt idx="6">
                    <c:v>21</c:v>
                  </c:pt>
                  <c:pt idx="7">
                    <c:v>27</c:v>
                  </c:pt>
                  <c:pt idx="8">
                    <c:v>28</c:v>
                  </c:pt>
                  <c:pt idx="9">
                    <c:v>29</c:v>
                  </c:pt>
                  <c:pt idx="10">
                    <c:v>19</c:v>
                  </c:pt>
                  <c:pt idx="11">
                    <c:v>225</c:v>
                  </c:pt>
                  <c:pt idx="12">
                    <c:v>81</c:v>
                  </c:pt>
                  <c:pt idx="13">
                    <c:v>103</c:v>
                  </c:pt>
                  <c:pt idx="14">
                    <c:v>19</c:v>
                  </c:pt>
                  <c:pt idx="15">
                    <c:v>34</c:v>
                  </c:pt>
                  <c:pt idx="16">
                    <c:v>45</c:v>
                  </c:pt>
                  <c:pt idx="17">
                    <c:v>45</c:v>
                  </c:pt>
                  <c:pt idx="18">
                    <c:v>45</c:v>
                  </c:pt>
                  <c:pt idx="19">
                    <c:v>4</c:v>
                  </c:pt>
                  <c:pt idx="20">
                    <c:v>55</c:v>
                  </c:pt>
                  <c:pt idx="21">
                    <c:v>56</c:v>
                  </c:pt>
                  <c:pt idx="22">
                    <c:v>63</c:v>
                  </c:pt>
                  <c:pt idx="23">
                    <c:v>84</c:v>
                  </c:pt>
                  <c:pt idx="24">
                    <c:v>31</c:v>
                  </c:pt>
                  <c:pt idx="25">
                    <c:v>31</c:v>
                  </c:pt>
                  <c:pt idx="26">
                    <c:v>31</c:v>
                  </c:pt>
                  <c:pt idx="27">
                    <c:v>47</c:v>
                  </c:pt>
                  <c:pt idx="28">
                    <c:v>33</c:v>
                  </c:pt>
                  <c:pt idx="29">
                    <c:v>48</c:v>
                  </c:pt>
                  <c:pt idx="30">
                    <c:v>10</c:v>
                  </c:pt>
                  <c:pt idx="31">
                    <c:v>39</c:v>
                  </c:pt>
                  <c:pt idx="32">
                    <c:v>22</c:v>
                  </c:pt>
                  <c:pt idx="33">
                    <c:v>24</c:v>
                  </c:pt>
                  <c:pt idx="34">
                    <c:v>24</c:v>
                  </c:pt>
                  <c:pt idx="35">
                    <c:v>15</c:v>
                  </c:pt>
                  <c:pt idx="36">
                    <c:v>20</c:v>
                  </c:pt>
                  <c:pt idx="37">
                    <c:v>55</c:v>
                  </c:pt>
                  <c:pt idx="38">
                    <c:v>13</c:v>
                  </c:pt>
                  <c:pt idx="39">
                    <c:v>13</c:v>
                  </c:pt>
                  <c:pt idx="40">
                    <c:v>21</c:v>
                  </c:pt>
                  <c:pt idx="41">
                    <c:v>18</c:v>
                  </c:pt>
                  <c:pt idx="42">
                    <c:v>18</c:v>
                  </c:pt>
                  <c:pt idx="43">
                    <c:v>1</c:v>
                  </c:pt>
                  <c:pt idx="44">
                    <c:v>3</c:v>
                  </c:pt>
                  <c:pt idx="45">
                    <c:v>5</c:v>
                  </c:pt>
                  <c:pt idx="46">
                    <c:v>5</c:v>
                  </c:pt>
                  <c:pt idx="47">
                    <c:v>5</c:v>
                  </c:pt>
                  <c:pt idx="48">
                    <c:v>4</c:v>
                  </c:pt>
                  <c:pt idx="49">
                    <c:v>3</c:v>
                  </c:pt>
                  <c:pt idx="50">
                    <c:v>0</c:v>
                  </c:pt>
                  <c:pt idx="51">
                    <c:v>1</c:v>
                  </c:pt>
                  <c:pt idx="52">
                    <c:v>3</c:v>
                  </c:pt>
                  <c:pt idx="53">
                    <c:v>2</c:v>
                  </c:pt>
                  <c:pt idx="54">
                    <c:v>2</c:v>
                  </c:pt>
                  <c:pt idx="55">
                    <c:v>2</c:v>
                  </c:pt>
                  <c:pt idx="56">
                    <c:v>2</c:v>
                  </c:pt>
                  <c:pt idx="57">
                    <c:v>1</c:v>
                  </c:pt>
                  <c:pt idx="58">
                    <c:v>1</c:v>
                  </c:pt>
                  <c:pt idx="59">
                    <c:v>1</c:v>
                  </c:pt>
                  <c:pt idx="60">
                    <c:v>1</c:v>
                  </c:pt>
                  <c:pt idx="61">
                    <c:v>1</c:v>
                  </c:pt>
                  <c:pt idx="62">
                    <c:v>0</c:v>
                  </c:pt>
                  <c:pt idx="63">
                    <c:v>1</c:v>
                  </c:pt>
                  <c:pt idx="64">
                    <c:v>1</c:v>
                  </c:pt>
                  <c:pt idx="65">
                    <c:v>40</c:v>
                  </c:pt>
                  <c:pt idx="66">
                    <c:v>38</c:v>
                  </c:pt>
                  <c:pt idx="67">
                    <c:v>17</c:v>
                  </c:pt>
                  <c:pt idx="68">
                    <c:v>16</c:v>
                  </c:pt>
                  <c:pt idx="69">
                    <c:v>4</c:v>
                  </c:pt>
                  <c:pt idx="70">
                    <c:v>1</c:v>
                  </c:pt>
                  <c:pt idx="71">
                    <c:v>1</c:v>
                  </c:pt>
                  <c:pt idx="72">
                    <c:v>1</c:v>
                  </c:pt>
                  <c:pt idx="73">
                    <c:v>1</c:v>
                  </c:pt>
                  <c:pt idx="74">
                    <c:v>1</c:v>
                  </c:pt>
                  <c:pt idx="75">
                    <c:v>1</c:v>
                  </c:pt>
                  <c:pt idx="76">
                    <c:v>1</c:v>
                  </c:pt>
                  <c:pt idx="77">
                    <c:v>1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59-AD7D-4203-B7E0-704C7B832C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6531439"/>
        <c:axId val="982668367"/>
      </c:lineChart>
      <c:catAx>
        <c:axId val="446531439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82668367"/>
        <c:crosses val="autoZero"/>
        <c:auto val="1"/>
        <c:lblAlgn val="ctr"/>
        <c:lblOffset val="20"/>
        <c:noMultiLvlLbl val="0"/>
      </c:catAx>
      <c:valAx>
        <c:axId val="98266836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46531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b" anchorCtr="0"/>
        <a:lstStyle/>
        <a:p>
          <a:pPr>
            <a:defRPr sz="3200" b="0" i="0" u="none" strike="noStrike" kern="1200" baseline="0">
              <a:ln>
                <a:noFill/>
              </a:ln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638604</xdr:colOff>
      <xdr:row>1</xdr:row>
      <xdr:rowOff>166688</xdr:rowOff>
    </xdr:from>
    <xdr:to>
      <xdr:col>69</xdr:col>
      <xdr:colOff>728662</xdr:colOff>
      <xdr:row>83</xdr:row>
      <xdr:rowOff>161924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726DD454-90CF-E19E-4BED-EDA7123DD1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329476</xdr:colOff>
      <xdr:row>0</xdr:row>
      <xdr:rowOff>0</xdr:rowOff>
    </xdr:from>
    <xdr:to>
      <xdr:col>76</xdr:col>
      <xdr:colOff>257609</xdr:colOff>
      <xdr:row>81</xdr:row>
      <xdr:rowOff>100011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6CFC8B98-F79C-43B4-9B0B-5742216454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effen Marz" refreshedDate="46043.739836458335" createdVersion="8" refreshedVersion="8" minRefreshableVersion="3" recordCount="250" xr:uid="{D99AF4F2-0CD5-4906-9DBB-3C9EE9DEDECF}">
  <cacheSource type="worksheet">
    <worksheetSource ref="A1:E251" sheet="Gesamt Daten"/>
  </cacheSource>
  <cacheFields count="5">
    <cacheField name="Art der Leistung" numFmtId="0">
      <sharedItems count="105">
        <s v="Bestimmung der Erythrozyten-Verteilungsbreite"/>
        <s v="Thrombozytenzählung"/>
        <s v="Bestimmung des prozentualen Anteils der Leukozyten im Differenzialblutbild"/>
        <s v="Bestimmung von C-reaktivem Protein"/>
        <s v="Prothrombinzeit"/>
        <s v="Kreatininbestimmung"/>
        <s v="gfr/mdrd"/>
        <s v="Chloridbestimmung"/>
        <s v="Kalziumbestimmung albuminkorrigiert"/>
        <s v="Natriumbestimmung im Plasma"/>
        <s v="Kalium-Spiegel im Plasma"/>
        <s v="Alaninaminotransferase-Spiegel im Plasma"/>
        <s v="Bestimmung des Gesamtbilirubins im Plasma"/>
        <s v="alkalische-Phosphatase-Spiegel im Plasma"/>
        <s v="Gammaglutamyltransferasebestimmung im Plasma"/>
        <s v="Aspartattransaminasebestimmung im Plasma"/>
        <s v="Laktatdehydrogenasebestimmung"/>
        <s v="partielle Thromboplastinzeit, aktiviert"/>
        <s v="TSH-Bestimmung im Serum"/>
        <s v="Gesamtproteinbestimmung im Plasma"/>
        <s v="Harnstreifen"/>
        <s v="Amylase-Spiegel im Plasma"/>
        <s v="Albumin-Spiegel im Plasma"/>
        <s v="Lipasebestimmung"/>
        <s v="Fibrinogenbestimmung"/>
        <s v="Blutkörperchenzählung, automatisiert"/>
        <s v="Harnstoffbestimmung im Harn"/>
        <s v="Calculation of international normalized ratio (procedure)"/>
        <s v="Kreatinkinase-Bestimmung"/>
        <s v="Harnsäurebestimmung, Harn"/>
        <s v="Anti-Faktor-Xa-Bestimmung"/>
        <s v="Thrombozytentransfusion"/>
        <s v="Glukosebestimmung, Blut"/>
        <s v="Test am Bett des Patienten"/>
        <s v="Osmolalitätbestimmung, Serum"/>
        <s v="AB0-Blutgruppenbestimmung"/>
        <s v="Blutgruppenantikörper-Screening"/>
        <s v="Harnstatus, Sedimentuntersuchung, zentrifugiert"/>
        <s v="Phosphorbestimmung"/>
        <s v="Rhesus-Blutgruppenbestimmung"/>
        <s v="Acetylcholinesterasebestimmung"/>
        <s v="freies-T4-Bestimmung im Serum"/>
        <s v="Bestimmung von freiem Triiodthyronin im Serum"/>
        <s v="Hämoglobin-A1c-Bestimmung"/>
        <s v="Bestimmung von konjugiertem Bilirubin im Plasma"/>
        <s v="Bestimmung von unkonjugiertem Bilirubin im Plasma"/>
        <s v="Hämodialyse"/>
        <s v="Blutgruppentypisierung, Rh-Phänotypisierung, großes E"/>
        <s v="Bestimmung des carcinoembryonalen Antigens"/>
        <s v="Triglyceridbestimmung"/>
        <s v="Messung der Konzentration von prostataspezifischem Antigen (psa)"/>
        <s v="High-density-Lipoprotein-Cholesterinbestimmung"/>
        <s v="RÖ: Thorax (Übersichtsaufnahme)"/>
        <s v="CT:"/>
        <s v="CT: Becken"/>
        <s v="CT: Oberbauch"/>
        <s v="US: Niere"/>
        <s v="US: Becken"/>
        <s v="CT: intravenöse Kontrastmittelgabe"/>
        <s v="CT: Harnorgane"/>
        <s v="RÖ: Thorax (lateral)"/>
        <s v="US: Bewegungsapparat"/>
        <s v="US: Oberbauch"/>
        <s v="US: Karotis"/>
        <s v="US: Unterbauch (transabdominell)"/>
        <s v="US: Retroperitoneum"/>
        <s v="CT: Abdomen"/>
        <s v="US: Wirbelarterie"/>
        <s v="US: Restharn"/>
        <s v="US: Echokardiographie"/>
        <s v="RÖ: Sprunggelenk"/>
        <s v="US: männliche Genitale"/>
        <s v="CT: Kopfstruktur"/>
        <s v="US: Abdomen"/>
        <s v="RÖ: Hüfte"/>
        <s v="X-ray consultation (procedure)"/>
        <s v="US: Lymphknoten"/>
        <s v="RÖ: Becken"/>
        <s v="RÖ: Oberschenkel"/>
        <s v="MR: intravenöse Kontrastmittelgabe"/>
        <s v="RÖ: Extremitäten"/>
        <s v="US: Prostata (transrektal)"/>
        <s v="Angio: CT"/>
        <s v="US: (transrektal)"/>
        <s v="US: (mit Doppler)"/>
        <s v="CT: Thorax"/>
        <s v="US: Periphere Gefäße"/>
        <s v="Blutgruppentypisierung, Rh-Phänotypisierung"/>
        <s v="Blutgruppentypisierung"/>
        <s v="Erythrozytenantikörpernachweis"/>
        <s v="Blutgruppentypisierung, Rh-Phänotypisierung, kleines c"/>
        <s v="Durchleuchtung"/>
        <s v="RÖ: Schulter"/>
        <s v="US: Schilddrüse"/>
        <s v="Angio: CT untere Extremität"/>
        <s v="RÖ: Sinus paranasales"/>
        <s v="RÖ: Knie"/>
        <s v="Spirometrie"/>
        <s v="RÖ: Brustkorb"/>
        <s v="MR: Cholangio (MRCP)"/>
        <s v="MR: Abdomen"/>
        <s v="ERCP: Galle"/>
        <s v="MR:"/>
        <s v="US: weibliche Genitale"/>
        <s v="RÖ: Gallengang"/>
      </sharedItems>
    </cacheField>
    <cacheField name="Anzahl" numFmtId="0">
      <sharedItems containsSemiMixedTypes="0" containsString="0" containsNumber="1" containsInteger="1" minValue="1" maxValue="325" count="89">
        <n v="220"/>
        <n v="175"/>
        <n v="155"/>
        <n v="144"/>
        <n v="114"/>
        <n v="111"/>
        <n v="102"/>
        <n v="97"/>
        <n v="94"/>
        <n v="73"/>
        <n v="66"/>
        <n v="65"/>
        <n v="57"/>
        <n v="50"/>
        <n v="48"/>
        <n v="29"/>
        <n v="20"/>
        <n v="11"/>
        <n v="10"/>
        <n v="9"/>
        <n v="98"/>
        <n v="95"/>
        <n v="93"/>
        <n v="88"/>
        <n v="74"/>
        <n v="72"/>
        <n v="70"/>
        <n v="67"/>
        <n v="13"/>
        <n v="12"/>
        <n v="8"/>
        <n v="4"/>
        <n v="3"/>
        <n v="2"/>
        <n v="16"/>
        <n v="6"/>
        <n v="1"/>
        <n v="27"/>
        <n v="15"/>
        <n v="5"/>
        <n v="325"/>
        <n v="314"/>
        <n v="231"/>
        <n v="227"/>
        <n v="226"/>
        <n v="225"/>
        <n v="125"/>
        <n v="121"/>
        <n v="118"/>
        <n v="117"/>
        <n v="115"/>
        <n v="110"/>
        <n v="82"/>
        <n v="75"/>
        <n v="61"/>
        <n v="60"/>
        <n v="44"/>
        <n v="43"/>
        <n v="30"/>
        <n v="58"/>
        <n v="55"/>
        <n v="7"/>
        <n v="280"/>
        <n v="270"/>
        <n v="254"/>
        <n v="253"/>
        <n v="248"/>
        <n v="244"/>
        <n v="242"/>
        <n v="183"/>
        <n v="170"/>
        <n v="162"/>
        <n v="152"/>
        <n v="122"/>
        <n v="119"/>
        <n v="91"/>
        <n v="71"/>
        <n v="51"/>
        <n v="41"/>
        <n v="40"/>
        <n v="38"/>
        <n v="26"/>
        <n v="22"/>
        <n v="21"/>
        <n v="19"/>
        <n v="18"/>
        <n v="17"/>
        <n v="37"/>
        <n v="14"/>
      </sharedItems>
    </cacheField>
    <cacheField name="Kategorie (Labor, Rad, Lunge, EKG)" numFmtId="0">
      <sharedItems count="2">
        <s v="Laborleistungen"/>
        <s v="Radiologieleistungen"/>
      </sharedItems>
    </cacheField>
    <cacheField name="Operationsart" numFmtId="0">
      <sharedItems count="2">
        <s v="Hernie"/>
        <s v="Galle"/>
      </sharedItems>
    </cacheField>
    <cacheField name="KH" numFmtId="0">
      <sharedItems count="2">
        <s v="KH 1"/>
        <s v="KH 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">
  <r>
    <x v="0"/>
    <x v="0"/>
    <x v="0"/>
    <x v="0"/>
    <x v="0"/>
  </r>
  <r>
    <x v="1"/>
    <x v="0"/>
    <x v="0"/>
    <x v="0"/>
    <x v="0"/>
  </r>
  <r>
    <x v="2"/>
    <x v="1"/>
    <x v="0"/>
    <x v="0"/>
    <x v="0"/>
  </r>
  <r>
    <x v="3"/>
    <x v="2"/>
    <x v="0"/>
    <x v="0"/>
    <x v="0"/>
  </r>
  <r>
    <x v="4"/>
    <x v="3"/>
    <x v="0"/>
    <x v="0"/>
    <x v="0"/>
  </r>
  <r>
    <x v="5"/>
    <x v="4"/>
    <x v="0"/>
    <x v="0"/>
    <x v="0"/>
  </r>
  <r>
    <x v="6"/>
    <x v="4"/>
    <x v="0"/>
    <x v="0"/>
    <x v="0"/>
  </r>
  <r>
    <x v="7"/>
    <x v="5"/>
    <x v="0"/>
    <x v="0"/>
    <x v="0"/>
  </r>
  <r>
    <x v="8"/>
    <x v="5"/>
    <x v="0"/>
    <x v="0"/>
    <x v="0"/>
  </r>
  <r>
    <x v="9"/>
    <x v="5"/>
    <x v="0"/>
    <x v="0"/>
    <x v="0"/>
  </r>
  <r>
    <x v="10"/>
    <x v="6"/>
    <x v="0"/>
    <x v="0"/>
    <x v="0"/>
  </r>
  <r>
    <x v="11"/>
    <x v="7"/>
    <x v="0"/>
    <x v="0"/>
    <x v="0"/>
  </r>
  <r>
    <x v="12"/>
    <x v="7"/>
    <x v="0"/>
    <x v="0"/>
    <x v="0"/>
  </r>
  <r>
    <x v="13"/>
    <x v="7"/>
    <x v="0"/>
    <x v="0"/>
    <x v="0"/>
  </r>
  <r>
    <x v="14"/>
    <x v="7"/>
    <x v="0"/>
    <x v="0"/>
    <x v="0"/>
  </r>
  <r>
    <x v="15"/>
    <x v="8"/>
    <x v="0"/>
    <x v="0"/>
    <x v="0"/>
  </r>
  <r>
    <x v="16"/>
    <x v="8"/>
    <x v="0"/>
    <x v="0"/>
    <x v="0"/>
  </r>
  <r>
    <x v="17"/>
    <x v="9"/>
    <x v="0"/>
    <x v="0"/>
    <x v="0"/>
  </r>
  <r>
    <x v="18"/>
    <x v="10"/>
    <x v="0"/>
    <x v="0"/>
    <x v="0"/>
  </r>
  <r>
    <x v="19"/>
    <x v="11"/>
    <x v="0"/>
    <x v="0"/>
    <x v="0"/>
  </r>
  <r>
    <x v="20"/>
    <x v="12"/>
    <x v="0"/>
    <x v="0"/>
    <x v="0"/>
  </r>
  <r>
    <x v="21"/>
    <x v="12"/>
    <x v="0"/>
    <x v="0"/>
    <x v="0"/>
  </r>
  <r>
    <x v="22"/>
    <x v="12"/>
    <x v="0"/>
    <x v="0"/>
    <x v="0"/>
  </r>
  <r>
    <x v="23"/>
    <x v="12"/>
    <x v="0"/>
    <x v="0"/>
    <x v="0"/>
  </r>
  <r>
    <x v="24"/>
    <x v="12"/>
    <x v="0"/>
    <x v="0"/>
    <x v="0"/>
  </r>
  <r>
    <x v="25"/>
    <x v="13"/>
    <x v="0"/>
    <x v="0"/>
    <x v="0"/>
  </r>
  <r>
    <x v="26"/>
    <x v="14"/>
    <x v="0"/>
    <x v="0"/>
    <x v="0"/>
  </r>
  <r>
    <x v="27"/>
    <x v="15"/>
    <x v="0"/>
    <x v="0"/>
    <x v="0"/>
  </r>
  <r>
    <x v="28"/>
    <x v="16"/>
    <x v="0"/>
    <x v="0"/>
    <x v="0"/>
  </r>
  <r>
    <x v="29"/>
    <x v="16"/>
    <x v="0"/>
    <x v="0"/>
    <x v="0"/>
  </r>
  <r>
    <x v="30"/>
    <x v="17"/>
    <x v="0"/>
    <x v="0"/>
    <x v="0"/>
  </r>
  <r>
    <x v="31"/>
    <x v="18"/>
    <x v="0"/>
    <x v="0"/>
    <x v="0"/>
  </r>
  <r>
    <x v="32"/>
    <x v="18"/>
    <x v="0"/>
    <x v="0"/>
    <x v="0"/>
  </r>
  <r>
    <x v="33"/>
    <x v="18"/>
    <x v="0"/>
    <x v="0"/>
    <x v="0"/>
  </r>
  <r>
    <x v="34"/>
    <x v="18"/>
    <x v="0"/>
    <x v="0"/>
    <x v="0"/>
  </r>
  <r>
    <x v="35"/>
    <x v="19"/>
    <x v="0"/>
    <x v="0"/>
    <x v="0"/>
  </r>
  <r>
    <x v="36"/>
    <x v="19"/>
    <x v="0"/>
    <x v="0"/>
    <x v="0"/>
  </r>
  <r>
    <x v="37"/>
    <x v="19"/>
    <x v="0"/>
    <x v="0"/>
    <x v="0"/>
  </r>
  <r>
    <x v="38"/>
    <x v="19"/>
    <x v="0"/>
    <x v="0"/>
    <x v="0"/>
  </r>
  <r>
    <x v="39"/>
    <x v="19"/>
    <x v="0"/>
    <x v="0"/>
    <x v="0"/>
  </r>
  <r>
    <x v="1"/>
    <x v="20"/>
    <x v="0"/>
    <x v="0"/>
    <x v="1"/>
  </r>
  <r>
    <x v="0"/>
    <x v="20"/>
    <x v="0"/>
    <x v="0"/>
    <x v="1"/>
  </r>
  <r>
    <x v="25"/>
    <x v="20"/>
    <x v="0"/>
    <x v="0"/>
    <x v="1"/>
  </r>
  <r>
    <x v="2"/>
    <x v="7"/>
    <x v="0"/>
    <x v="0"/>
    <x v="1"/>
  </r>
  <r>
    <x v="27"/>
    <x v="21"/>
    <x v="0"/>
    <x v="0"/>
    <x v="1"/>
  </r>
  <r>
    <x v="4"/>
    <x v="21"/>
    <x v="0"/>
    <x v="0"/>
    <x v="1"/>
  </r>
  <r>
    <x v="17"/>
    <x v="22"/>
    <x v="0"/>
    <x v="0"/>
    <x v="1"/>
  </r>
  <r>
    <x v="20"/>
    <x v="23"/>
    <x v="0"/>
    <x v="0"/>
    <x v="1"/>
  </r>
  <r>
    <x v="10"/>
    <x v="24"/>
    <x v="0"/>
    <x v="0"/>
    <x v="1"/>
  </r>
  <r>
    <x v="8"/>
    <x v="9"/>
    <x v="0"/>
    <x v="0"/>
    <x v="1"/>
  </r>
  <r>
    <x v="9"/>
    <x v="9"/>
    <x v="0"/>
    <x v="0"/>
    <x v="1"/>
  </r>
  <r>
    <x v="7"/>
    <x v="9"/>
    <x v="0"/>
    <x v="0"/>
    <x v="1"/>
  </r>
  <r>
    <x v="3"/>
    <x v="25"/>
    <x v="0"/>
    <x v="0"/>
    <x v="1"/>
  </r>
  <r>
    <x v="16"/>
    <x v="25"/>
    <x v="0"/>
    <x v="0"/>
    <x v="1"/>
  </r>
  <r>
    <x v="6"/>
    <x v="25"/>
    <x v="0"/>
    <x v="0"/>
    <x v="1"/>
  </r>
  <r>
    <x v="5"/>
    <x v="25"/>
    <x v="0"/>
    <x v="0"/>
    <x v="1"/>
  </r>
  <r>
    <x v="15"/>
    <x v="25"/>
    <x v="0"/>
    <x v="0"/>
    <x v="1"/>
  </r>
  <r>
    <x v="26"/>
    <x v="25"/>
    <x v="0"/>
    <x v="0"/>
    <x v="1"/>
  </r>
  <r>
    <x v="40"/>
    <x v="26"/>
    <x v="0"/>
    <x v="0"/>
    <x v="1"/>
  </r>
  <r>
    <x v="12"/>
    <x v="26"/>
    <x v="0"/>
    <x v="0"/>
    <x v="1"/>
  </r>
  <r>
    <x v="13"/>
    <x v="26"/>
    <x v="0"/>
    <x v="0"/>
    <x v="1"/>
  </r>
  <r>
    <x v="14"/>
    <x v="26"/>
    <x v="0"/>
    <x v="0"/>
    <x v="1"/>
  </r>
  <r>
    <x v="11"/>
    <x v="26"/>
    <x v="0"/>
    <x v="0"/>
    <x v="1"/>
  </r>
  <r>
    <x v="32"/>
    <x v="27"/>
    <x v="0"/>
    <x v="0"/>
    <x v="1"/>
  </r>
  <r>
    <x v="18"/>
    <x v="28"/>
    <x v="0"/>
    <x v="0"/>
    <x v="1"/>
  </r>
  <r>
    <x v="41"/>
    <x v="29"/>
    <x v="0"/>
    <x v="0"/>
    <x v="1"/>
  </r>
  <r>
    <x v="42"/>
    <x v="29"/>
    <x v="0"/>
    <x v="0"/>
    <x v="1"/>
  </r>
  <r>
    <x v="43"/>
    <x v="18"/>
    <x v="0"/>
    <x v="0"/>
    <x v="1"/>
  </r>
  <r>
    <x v="44"/>
    <x v="30"/>
    <x v="0"/>
    <x v="0"/>
    <x v="1"/>
  </r>
  <r>
    <x v="45"/>
    <x v="30"/>
    <x v="0"/>
    <x v="0"/>
    <x v="1"/>
  </r>
  <r>
    <x v="46"/>
    <x v="31"/>
    <x v="0"/>
    <x v="0"/>
    <x v="1"/>
  </r>
  <r>
    <x v="47"/>
    <x v="32"/>
    <x v="0"/>
    <x v="0"/>
    <x v="1"/>
  </r>
  <r>
    <x v="28"/>
    <x v="32"/>
    <x v="0"/>
    <x v="0"/>
    <x v="1"/>
  </r>
  <r>
    <x v="19"/>
    <x v="32"/>
    <x v="0"/>
    <x v="0"/>
    <x v="1"/>
  </r>
  <r>
    <x v="48"/>
    <x v="33"/>
    <x v="0"/>
    <x v="0"/>
    <x v="1"/>
  </r>
  <r>
    <x v="49"/>
    <x v="33"/>
    <x v="0"/>
    <x v="0"/>
    <x v="1"/>
  </r>
  <r>
    <x v="50"/>
    <x v="33"/>
    <x v="0"/>
    <x v="0"/>
    <x v="1"/>
  </r>
  <r>
    <x v="51"/>
    <x v="33"/>
    <x v="0"/>
    <x v="0"/>
    <x v="1"/>
  </r>
  <r>
    <x v="29"/>
    <x v="33"/>
    <x v="0"/>
    <x v="0"/>
    <x v="1"/>
  </r>
  <r>
    <x v="52"/>
    <x v="34"/>
    <x v="1"/>
    <x v="0"/>
    <x v="0"/>
  </r>
  <r>
    <x v="53"/>
    <x v="29"/>
    <x v="1"/>
    <x v="0"/>
    <x v="0"/>
  </r>
  <r>
    <x v="54"/>
    <x v="35"/>
    <x v="1"/>
    <x v="0"/>
    <x v="0"/>
  </r>
  <r>
    <x v="55"/>
    <x v="35"/>
    <x v="1"/>
    <x v="0"/>
    <x v="0"/>
  </r>
  <r>
    <x v="56"/>
    <x v="35"/>
    <x v="1"/>
    <x v="0"/>
    <x v="0"/>
  </r>
  <r>
    <x v="57"/>
    <x v="35"/>
    <x v="1"/>
    <x v="0"/>
    <x v="0"/>
  </r>
  <r>
    <x v="58"/>
    <x v="35"/>
    <x v="1"/>
    <x v="0"/>
    <x v="0"/>
  </r>
  <r>
    <x v="59"/>
    <x v="35"/>
    <x v="1"/>
    <x v="0"/>
    <x v="0"/>
  </r>
  <r>
    <x v="60"/>
    <x v="35"/>
    <x v="1"/>
    <x v="0"/>
    <x v="0"/>
  </r>
  <r>
    <x v="61"/>
    <x v="35"/>
    <x v="1"/>
    <x v="0"/>
    <x v="0"/>
  </r>
  <r>
    <x v="62"/>
    <x v="31"/>
    <x v="1"/>
    <x v="0"/>
    <x v="0"/>
  </r>
  <r>
    <x v="63"/>
    <x v="31"/>
    <x v="1"/>
    <x v="0"/>
    <x v="0"/>
  </r>
  <r>
    <x v="64"/>
    <x v="31"/>
    <x v="1"/>
    <x v="0"/>
    <x v="0"/>
  </r>
  <r>
    <x v="65"/>
    <x v="31"/>
    <x v="1"/>
    <x v="0"/>
    <x v="0"/>
  </r>
  <r>
    <x v="66"/>
    <x v="31"/>
    <x v="1"/>
    <x v="0"/>
    <x v="0"/>
  </r>
  <r>
    <x v="67"/>
    <x v="31"/>
    <x v="1"/>
    <x v="0"/>
    <x v="0"/>
  </r>
  <r>
    <x v="68"/>
    <x v="32"/>
    <x v="1"/>
    <x v="0"/>
    <x v="0"/>
  </r>
  <r>
    <x v="69"/>
    <x v="32"/>
    <x v="1"/>
    <x v="0"/>
    <x v="0"/>
  </r>
  <r>
    <x v="70"/>
    <x v="33"/>
    <x v="1"/>
    <x v="0"/>
    <x v="0"/>
  </r>
  <r>
    <x v="71"/>
    <x v="33"/>
    <x v="1"/>
    <x v="0"/>
    <x v="0"/>
  </r>
  <r>
    <x v="72"/>
    <x v="33"/>
    <x v="1"/>
    <x v="0"/>
    <x v="0"/>
  </r>
  <r>
    <x v="73"/>
    <x v="33"/>
    <x v="1"/>
    <x v="0"/>
    <x v="0"/>
  </r>
  <r>
    <x v="74"/>
    <x v="36"/>
    <x v="1"/>
    <x v="0"/>
    <x v="0"/>
  </r>
  <r>
    <x v="75"/>
    <x v="36"/>
    <x v="1"/>
    <x v="0"/>
    <x v="0"/>
  </r>
  <r>
    <x v="76"/>
    <x v="36"/>
    <x v="1"/>
    <x v="0"/>
    <x v="0"/>
  </r>
  <r>
    <x v="77"/>
    <x v="36"/>
    <x v="1"/>
    <x v="0"/>
    <x v="0"/>
  </r>
  <r>
    <x v="78"/>
    <x v="36"/>
    <x v="1"/>
    <x v="0"/>
    <x v="0"/>
  </r>
  <r>
    <x v="79"/>
    <x v="36"/>
    <x v="1"/>
    <x v="0"/>
    <x v="0"/>
  </r>
  <r>
    <x v="80"/>
    <x v="36"/>
    <x v="1"/>
    <x v="0"/>
    <x v="0"/>
  </r>
  <r>
    <x v="81"/>
    <x v="36"/>
    <x v="1"/>
    <x v="0"/>
    <x v="0"/>
  </r>
  <r>
    <x v="82"/>
    <x v="36"/>
    <x v="1"/>
    <x v="0"/>
    <x v="0"/>
  </r>
  <r>
    <x v="83"/>
    <x v="36"/>
    <x v="1"/>
    <x v="0"/>
    <x v="0"/>
  </r>
  <r>
    <x v="84"/>
    <x v="36"/>
    <x v="1"/>
    <x v="0"/>
    <x v="0"/>
  </r>
  <r>
    <x v="52"/>
    <x v="15"/>
    <x v="1"/>
    <x v="0"/>
    <x v="1"/>
  </r>
  <r>
    <x v="60"/>
    <x v="37"/>
    <x v="1"/>
    <x v="0"/>
    <x v="1"/>
  </r>
  <r>
    <x v="64"/>
    <x v="38"/>
    <x v="1"/>
    <x v="0"/>
    <x v="1"/>
  </r>
  <r>
    <x v="65"/>
    <x v="30"/>
    <x v="1"/>
    <x v="0"/>
    <x v="1"/>
  </r>
  <r>
    <x v="62"/>
    <x v="30"/>
    <x v="1"/>
    <x v="0"/>
    <x v="1"/>
  </r>
  <r>
    <x v="61"/>
    <x v="39"/>
    <x v="1"/>
    <x v="0"/>
    <x v="1"/>
  </r>
  <r>
    <x v="53"/>
    <x v="33"/>
    <x v="1"/>
    <x v="0"/>
    <x v="1"/>
  </r>
  <r>
    <x v="58"/>
    <x v="36"/>
    <x v="1"/>
    <x v="0"/>
    <x v="1"/>
  </r>
  <r>
    <x v="85"/>
    <x v="36"/>
    <x v="1"/>
    <x v="0"/>
    <x v="1"/>
  </r>
  <r>
    <x v="76"/>
    <x v="36"/>
    <x v="1"/>
    <x v="0"/>
    <x v="1"/>
  </r>
  <r>
    <x v="66"/>
    <x v="36"/>
    <x v="1"/>
    <x v="0"/>
    <x v="1"/>
  </r>
  <r>
    <x v="69"/>
    <x v="36"/>
    <x v="1"/>
    <x v="0"/>
    <x v="1"/>
  </r>
  <r>
    <x v="86"/>
    <x v="36"/>
    <x v="1"/>
    <x v="0"/>
    <x v="1"/>
  </r>
  <r>
    <x v="70"/>
    <x v="36"/>
    <x v="1"/>
    <x v="0"/>
    <x v="1"/>
  </r>
  <r>
    <x v="1"/>
    <x v="40"/>
    <x v="0"/>
    <x v="1"/>
    <x v="1"/>
  </r>
  <r>
    <x v="0"/>
    <x v="40"/>
    <x v="0"/>
    <x v="1"/>
    <x v="1"/>
  </r>
  <r>
    <x v="25"/>
    <x v="40"/>
    <x v="0"/>
    <x v="1"/>
    <x v="1"/>
  </r>
  <r>
    <x v="2"/>
    <x v="41"/>
    <x v="0"/>
    <x v="1"/>
    <x v="1"/>
  </r>
  <r>
    <x v="3"/>
    <x v="42"/>
    <x v="0"/>
    <x v="1"/>
    <x v="1"/>
  </r>
  <r>
    <x v="16"/>
    <x v="43"/>
    <x v="0"/>
    <x v="1"/>
    <x v="1"/>
  </r>
  <r>
    <x v="15"/>
    <x v="43"/>
    <x v="0"/>
    <x v="1"/>
    <x v="1"/>
  </r>
  <r>
    <x v="14"/>
    <x v="44"/>
    <x v="0"/>
    <x v="1"/>
    <x v="1"/>
  </r>
  <r>
    <x v="13"/>
    <x v="45"/>
    <x v="0"/>
    <x v="1"/>
    <x v="1"/>
  </r>
  <r>
    <x v="12"/>
    <x v="45"/>
    <x v="0"/>
    <x v="1"/>
    <x v="1"/>
  </r>
  <r>
    <x v="11"/>
    <x v="45"/>
    <x v="0"/>
    <x v="1"/>
    <x v="1"/>
  </r>
  <r>
    <x v="40"/>
    <x v="45"/>
    <x v="0"/>
    <x v="1"/>
    <x v="1"/>
  </r>
  <r>
    <x v="19"/>
    <x v="46"/>
    <x v="0"/>
    <x v="1"/>
    <x v="1"/>
  </r>
  <r>
    <x v="27"/>
    <x v="47"/>
    <x v="0"/>
    <x v="1"/>
    <x v="1"/>
  </r>
  <r>
    <x v="4"/>
    <x v="47"/>
    <x v="0"/>
    <x v="1"/>
    <x v="1"/>
  </r>
  <r>
    <x v="10"/>
    <x v="48"/>
    <x v="0"/>
    <x v="1"/>
    <x v="1"/>
  </r>
  <r>
    <x v="9"/>
    <x v="49"/>
    <x v="0"/>
    <x v="1"/>
    <x v="1"/>
  </r>
  <r>
    <x v="7"/>
    <x v="49"/>
    <x v="0"/>
    <x v="1"/>
    <x v="1"/>
  </r>
  <r>
    <x v="8"/>
    <x v="49"/>
    <x v="0"/>
    <x v="1"/>
    <x v="1"/>
  </r>
  <r>
    <x v="26"/>
    <x v="50"/>
    <x v="0"/>
    <x v="1"/>
    <x v="1"/>
  </r>
  <r>
    <x v="5"/>
    <x v="50"/>
    <x v="0"/>
    <x v="1"/>
    <x v="1"/>
  </r>
  <r>
    <x v="6"/>
    <x v="4"/>
    <x v="0"/>
    <x v="1"/>
    <x v="1"/>
  </r>
  <r>
    <x v="17"/>
    <x v="5"/>
    <x v="0"/>
    <x v="1"/>
    <x v="1"/>
  </r>
  <r>
    <x v="32"/>
    <x v="51"/>
    <x v="0"/>
    <x v="1"/>
    <x v="1"/>
  </r>
  <r>
    <x v="39"/>
    <x v="52"/>
    <x v="0"/>
    <x v="1"/>
    <x v="1"/>
  </r>
  <r>
    <x v="36"/>
    <x v="52"/>
    <x v="0"/>
    <x v="1"/>
    <x v="1"/>
  </r>
  <r>
    <x v="35"/>
    <x v="52"/>
    <x v="0"/>
    <x v="1"/>
    <x v="1"/>
  </r>
  <r>
    <x v="21"/>
    <x v="53"/>
    <x v="0"/>
    <x v="1"/>
    <x v="1"/>
  </r>
  <r>
    <x v="20"/>
    <x v="24"/>
    <x v="0"/>
    <x v="1"/>
    <x v="1"/>
  </r>
  <r>
    <x v="23"/>
    <x v="24"/>
    <x v="0"/>
    <x v="1"/>
    <x v="1"/>
  </r>
  <r>
    <x v="44"/>
    <x v="54"/>
    <x v="0"/>
    <x v="1"/>
    <x v="1"/>
  </r>
  <r>
    <x v="45"/>
    <x v="55"/>
    <x v="0"/>
    <x v="1"/>
    <x v="1"/>
  </r>
  <r>
    <x v="87"/>
    <x v="56"/>
    <x v="0"/>
    <x v="1"/>
    <x v="1"/>
  </r>
  <r>
    <x v="88"/>
    <x v="57"/>
    <x v="0"/>
    <x v="1"/>
    <x v="1"/>
  </r>
  <r>
    <x v="89"/>
    <x v="57"/>
    <x v="0"/>
    <x v="1"/>
    <x v="1"/>
  </r>
  <r>
    <x v="47"/>
    <x v="58"/>
    <x v="0"/>
    <x v="1"/>
    <x v="1"/>
  </r>
  <r>
    <x v="90"/>
    <x v="16"/>
    <x v="0"/>
    <x v="1"/>
    <x v="1"/>
  </r>
  <r>
    <x v="18"/>
    <x v="34"/>
    <x v="0"/>
    <x v="1"/>
    <x v="1"/>
  </r>
  <r>
    <x v="42"/>
    <x v="28"/>
    <x v="0"/>
    <x v="1"/>
    <x v="1"/>
  </r>
  <r>
    <x v="41"/>
    <x v="28"/>
    <x v="0"/>
    <x v="1"/>
    <x v="1"/>
  </r>
  <r>
    <x v="62"/>
    <x v="59"/>
    <x v="1"/>
    <x v="1"/>
    <x v="1"/>
  </r>
  <r>
    <x v="64"/>
    <x v="60"/>
    <x v="1"/>
    <x v="1"/>
    <x v="1"/>
  </r>
  <r>
    <x v="65"/>
    <x v="60"/>
    <x v="1"/>
    <x v="1"/>
    <x v="1"/>
  </r>
  <r>
    <x v="52"/>
    <x v="34"/>
    <x v="1"/>
    <x v="1"/>
    <x v="1"/>
  </r>
  <r>
    <x v="53"/>
    <x v="17"/>
    <x v="1"/>
    <x v="1"/>
    <x v="1"/>
  </r>
  <r>
    <x v="60"/>
    <x v="18"/>
    <x v="1"/>
    <x v="1"/>
    <x v="1"/>
  </r>
  <r>
    <x v="66"/>
    <x v="19"/>
    <x v="1"/>
    <x v="1"/>
    <x v="1"/>
  </r>
  <r>
    <x v="58"/>
    <x v="61"/>
    <x v="1"/>
    <x v="1"/>
    <x v="1"/>
  </r>
  <r>
    <x v="91"/>
    <x v="31"/>
    <x v="1"/>
    <x v="1"/>
    <x v="1"/>
  </r>
  <r>
    <x v="69"/>
    <x v="32"/>
    <x v="1"/>
    <x v="1"/>
    <x v="1"/>
  </r>
  <r>
    <x v="56"/>
    <x v="32"/>
    <x v="1"/>
    <x v="1"/>
    <x v="1"/>
  </r>
  <r>
    <x v="57"/>
    <x v="32"/>
    <x v="1"/>
    <x v="1"/>
    <x v="1"/>
  </r>
  <r>
    <x v="92"/>
    <x v="32"/>
    <x v="1"/>
    <x v="1"/>
    <x v="1"/>
  </r>
  <r>
    <x v="54"/>
    <x v="33"/>
    <x v="1"/>
    <x v="1"/>
    <x v="1"/>
  </r>
  <r>
    <x v="59"/>
    <x v="33"/>
    <x v="1"/>
    <x v="1"/>
    <x v="1"/>
  </r>
  <r>
    <x v="93"/>
    <x v="33"/>
    <x v="1"/>
    <x v="1"/>
    <x v="1"/>
  </r>
  <r>
    <x v="55"/>
    <x v="33"/>
    <x v="1"/>
    <x v="1"/>
    <x v="1"/>
  </r>
  <r>
    <x v="94"/>
    <x v="36"/>
    <x v="1"/>
    <x v="1"/>
    <x v="1"/>
  </r>
  <r>
    <x v="95"/>
    <x v="36"/>
    <x v="1"/>
    <x v="1"/>
    <x v="1"/>
  </r>
  <r>
    <x v="77"/>
    <x v="36"/>
    <x v="1"/>
    <x v="1"/>
    <x v="1"/>
  </r>
  <r>
    <x v="96"/>
    <x v="36"/>
    <x v="1"/>
    <x v="1"/>
    <x v="1"/>
  </r>
  <r>
    <x v="97"/>
    <x v="36"/>
    <x v="1"/>
    <x v="1"/>
    <x v="1"/>
  </r>
  <r>
    <x v="86"/>
    <x v="36"/>
    <x v="1"/>
    <x v="1"/>
    <x v="1"/>
  </r>
  <r>
    <x v="74"/>
    <x v="36"/>
    <x v="1"/>
    <x v="1"/>
    <x v="1"/>
  </r>
  <r>
    <x v="98"/>
    <x v="36"/>
    <x v="1"/>
    <x v="1"/>
    <x v="1"/>
  </r>
  <r>
    <x v="0"/>
    <x v="62"/>
    <x v="0"/>
    <x v="1"/>
    <x v="0"/>
  </r>
  <r>
    <x v="1"/>
    <x v="62"/>
    <x v="0"/>
    <x v="1"/>
    <x v="0"/>
  </r>
  <r>
    <x v="3"/>
    <x v="63"/>
    <x v="0"/>
    <x v="1"/>
    <x v="0"/>
  </r>
  <r>
    <x v="12"/>
    <x v="64"/>
    <x v="0"/>
    <x v="1"/>
    <x v="0"/>
  </r>
  <r>
    <x v="13"/>
    <x v="65"/>
    <x v="0"/>
    <x v="1"/>
    <x v="0"/>
  </r>
  <r>
    <x v="14"/>
    <x v="65"/>
    <x v="0"/>
    <x v="1"/>
    <x v="0"/>
  </r>
  <r>
    <x v="15"/>
    <x v="66"/>
    <x v="0"/>
    <x v="1"/>
    <x v="0"/>
  </r>
  <r>
    <x v="11"/>
    <x v="67"/>
    <x v="0"/>
    <x v="1"/>
    <x v="0"/>
  </r>
  <r>
    <x v="16"/>
    <x v="68"/>
    <x v="0"/>
    <x v="1"/>
    <x v="0"/>
  </r>
  <r>
    <x v="2"/>
    <x v="69"/>
    <x v="0"/>
    <x v="1"/>
    <x v="0"/>
  </r>
  <r>
    <x v="5"/>
    <x v="70"/>
    <x v="0"/>
    <x v="1"/>
    <x v="0"/>
  </r>
  <r>
    <x v="6"/>
    <x v="70"/>
    <x v="0"/>
    <x v="1"/>
    <x v="0"/>
  </r>
  <r>
    <x v="9"/>
    <x v="71"/>
    <x v="0"/>
    <x v="1"/>
    <x v="0"/>
  </r>
  <r>
    <x v="8"/>
    <x v="71"/>
    <x v="0"/>
    <x v="1"/>
    <x v="0"/>
  </r>
  <r>
    <x v="7"/>
    <x v="71"/>
    <x v="0"/>
    <x v="1"/>
    <x v="0"/>
  </r>
  <r>
    <x v="10"/>
    <x v="72"/>
    <x v="0"/>
    <x v="1"/>
    <x v="0"/>
  </r>
  <r>
    <x v="23"/>
    <x v="73"/>
    <x v="0"/>
    <x v="1"/>
    <x v="0"/>
  </r>
  <r>
    <x v="21"/>
    <x v="73"/>
    <x v="0"/>
    <x v="1"/>
    <x v="0"/>
  </r>
  <r>
    <x v="26"/>
    <x v="74"/>
    <x v="0"/>
    <x v="1"/>
    <x v="0"/>
  </r>
  <r>
    <x v="4"/>
    <x v="6"/>
    <x v="0"/>
    <x v="1"/>
    <x v="0"/>
  </r>
  <r>
    <x v="25"/>
    <x v="75"/>
    <x v="0"/>
    <x v="1"/>
    <x v="0"/>
  </r>
  <r>
    <x v="18"/>
    <x v="76"/>
    <x v="0"/>
    <x v="1"/>
    <x v="0"/>
  </r>
  <r>
    <x v="39"/>
    <x v="77"/>
    <x v="0"/>
    <x v="1"/>
    <x v="0"/>
  </r>
  <r>
    <x v="36"/>
    <x v="77"/>
    <x v="0"/>
    <x v="1"/>
    <x v="0"/>
  </r>
  <r>
    <x v="44"/>
    <x v="77"/>
    <x v="0"/>
    <x v="1"/>
    <x v="0"/>
  </r>
  <r>
    <x v="35"/>
    <x v="77"/>
    <x v="0"/>
    <x v="1"/>
    <x v="0"/>
  </r>
  <r>
    <x v="17"/>
    <x v="14"/>
    <x v="0"/>
    <x v="1"/>
    <x v="0"/>
  </r>
  <r>
    <x v="19"/>
    <x v="56"/>
    <x v="0"/>
    <x v="1"/>
    <x v="0"/>
  </r>
  <r>
    <x v="20"/>
    <x v="78"/>
    <x v="0"/>
    <x v="1"/>
    <x v="0"/>
  </r>
  <r>
    <x v="22"/>
    <x v="79"/>
    <x v="0"/>
    <x v="1"/>
    <x v="0"/>
  </r>
  <r>
    <x v="29"/>
    <x v="80"/>
    <x v="0"/>
    <x v="1"/>
    <x v="0"/>
  </r>
  <r>
    <x v="32"/>
    <x v="81"/>
    <x v="0"/>
    <x v="1"/>
    <x v="0"/>
  </r>
  <r>
    <x v="87"/>
    <x v="82"/>
    <x v="0"/>
    <x v="1"/>
    <x v="0"/>
  </r>
  <r>
    <x v="45"/>
    <x v="83"/>
    <x v="0"/>
    <x v="1"/>
    <x v="0"/>
  </r>
  <r>
    <x v="88"/>
    <x v="84"/>
    <x v="0"/>
    <x v="1"/>
    <x v="0"/>
  </r>
  <r>
    <x v="89"/>
    <x v="84"/>
    <x v="0"/>
    <x v="1"/>
    <x v="0"/>
  </r>
  <r>
    <x v="27"/>
    <x v="85"/>
    <x v="0"/>
    <x v="1"/>
    <x v="0"/>
  </r>
  <r>
    <x v="24"/>
    <x v="86"/>
    <x v="0"/>
    <x v="1"/>
    <x v="0"/>
  </r>
  <r>
    <x v="37"/>
    <x v="34"/>
    <x v="0"/>
    <x v="1"/>
    <x v="0"/>
  </r>
  <r>
    <x v="47"/>
    <x v="38"/>
    <x v="0"/>
    <x v="1"/>
    <x v="0"/>
  </r>
  <r>
    <x v="62"/>
    <x v="87"/>
    <x v="1"/>
    <x v="1"/>
    <x v="0"/>
  </r>
  <r>
    <x v="65"/>
    <x v="87"/>
    <x v="1"/>
    <x v="1"/>
    <x v="0"/>
  </r>
  <r>
    <x v="64"/>
    <x v="87"/>
    <x v="1"/>
    <x v="1"/>
    <x v="0"/>
  </r>
  <r>
    <x v="52"/>
    <x v="38"/>
    <x v="1"/>
    <x v="1"/>
    <x v="0"/>
  </r>
  <r>
    <x v="53"/>
    <x v="88"/>
    <x v="1"/>
    <x v="1"/>
    <x v="0"/>
  </r>
  <r>
    <x v="66"/>
    <x v="88"/>
    <x v="1"/>
    <x v="1"/>
    <x v="0"/>
  </r>
  <r>
    <x v="58"/>
    <x v="29"/>
    <x v="1"/>
    <x v="1"/>
    <x v="0"/>
  </r>
  <r>
    <x v="60"/>
    <x v="39"/>
    <x v="1"/>
    <x v="1"/>
    <x v="0"/>
  </r>
  <r>
    <x v="57"/>
    <x v="31"/>
    <x v="1"/>
    <x v="1"/>
    <x v="0"/>
  </r>
  <r>
    <x v="99"/>
    <x v="31"/>
    <x v="1"/>
    <x v="1"/>
    <x v="0"/>
  </r>
  <r>
    <x v="56"/>
    <x v="32"/>
    <x v="1"/>
    <x v="1"/>
    <x v="0"/>
  </r>
  <r>
    <x v="100"/>
    <x v="36"/>
    <x v="1"/>
    <x v="1"/>
    <x v="0"/>
  </r>
  <r>
    <x v="101"/>
    <x v="36"/>
    <x v="1"/>
    <x v="1"/>
    <x v="0"/>
  </r>
  <r>
    <x v="102"/>
    <x v="36"/>
    <x v="1"/>
    <x v="1"/>
    <x v="0"/>
  </r>
  <r>
    <x v="79"/>
    <x v="36"/>
    <x v="1"/>
    <x v="1"/>
    <x v="0"/>
  </r>
  <r>
    <x v="103"/>
    <x v="36"/>
    <x v="1"/>
    <x v="1"/>
    <x v="0"/>
  </r>
  <r>
    <x v="83"/>
    <x v="36"/>
    <x v="1"/>
    <x v="1"/>
    <x v="0"/>
  </r>
  <r>
    <x v="104"/>
    <x v="36"/>
    <x v="1"/>
    <x v="1"/>
    <x v="0"/>
  </r>
  <r>
    <x v="86"/>
    <x v="36"/>
    <x v="1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94BC1F-8371-4A16-8CE4-DF547275174B}" name="PivotTable1" cacheId="0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 chartFormat="1">
  <location ref="A3:D274" firstHeaderRow="1" firstDataRow="2" firstDataCol="1"/>
  <pivotFields count="5">
    <pivotField axis="axisRow" showAll="0">
      <items count="106">
        <item x="35"/>
        <item x="40"/>
        <item x="11"/>
        <item x="22"/>
        <item x="13"/>
        <item x="21"/>
        <item x="82"/>
        <item x="94"/>
        <item x="30"/>
        <item x="15"/>
        <item x="0"/>
        <item x="48"/>
        <item x="12"/>
        <item x="2"/>
        <item x="3"/>
        <item x="42"/>
        <item x="44"/>
        <item x="45"/>
        <item x="36"/>
        <item x="88"/>
        <item x="87"/>
        <item x="47"/>
        <item x="90"/>
        <item x="25"/>
        <item x="27"/>
        <item x="7"/>
        <item x="53"/>
        <item x="66"/>
        <item x="54"/>
        <item x="59"/>
        <item x="58"/>
        <item x="72"/>
        <item x="55"/>
        <item x="85"/>
        <item x="91"/>
        <item x="101"/>
        <item x="89"/>
        <item x="24"/>
        <item x="41"/>
        <item x="14"/>
        <item x="19"/>
        <item x="6"/>
        <item x="32"/>
        <item x="46"/>
        <item x="43"/>
        <item x="29"/>
        <item x="37"/>
        <item x="26"/>
        <item x="20"/>
        <item x="51"/>
        <item x="10"/>
        <item x="8"/>
        <item x="5"/>
        <item x="28"/>
        <item x="16"/>
        <item x="23"/>
        <item x="50"/>
        <item x="102"/>
        <item x="100"/>
        <item x="99"/>
        <item x="79"/>
        <item x="9"/>
        <item x="34"/>
        <item x="17"/>
        <item x="38"/>
        <item x="4"/>
        <item x="39"/>
        <item x="77"/>
        <item x="98"/>
        <item x="80"/>
        <item x="104"/>
        <item x="74"/>
        <item x="96"/>
        <item x="78"/>
        <item x="92"/>
        <item x="95"/>
        <item x="70"/>
        <item x="60"/>
        <item x="52"/>
        <item x="97"/>
        <item x="33"/>
        <item x="31"/>
        <item x="1"/>
        <item x="49"/>
        <item x="18"/>
        <item x="84"/>
        <item x="83"/>
        <item x="73"/>
        <item x="57"/>
        <item x="61"/>
        <item x="69"/>
        <item x="63"/>
        <item x="76"/>
        <item x="71"/>
        <item x="56"/>
        <item x="62"/>
        <item x="86"/>
        <item x="81"/>
        <item x="68"/>
        <item x="65"/>
        <item x="93"/>
        <item x="64"/>
        <item x="103"/>
        <item x="67"/>
        <item x="75"/>
        <item t="default"/>
      </items>
    </pivotField>
    <pivotField dataField="1" showAll="0">
      <items count="90">
        <item x="36"/>
        <item x="33"/>
        <item x="32"/>
        <item x="31"/>
        <item x="39"/>
        <item x="35"/>
        <item x="61"/>
        <item x="30"/>
        <item x="19"/>
        <item x="18"/>
        <item x="17"/>
        <item x="29"/>
        <item x="28"/>
        <item x="88"/>
        <item x="38"/>
        <item x="34"/>
        <item x="86"/>
        <item x="85"/>
        <item x="84"/>
        <item x="16"/>
        <item x="83"/>
        <item x="82"/>
        <item x="81"/>
        <item x="37"/>
        <item x="15"/>
        <item x="58"/>
        <item x="87"/>
        <item x="80"/>
        <item x="79"/>
        <item x="78"/>
        <item x="57"/>
        <item x="56"/>
        <item x="14"/>
        <item x="13"/>
        <item x="77"/>
        <item x="60"/>
        <item x="12"/>
        <item x="59"/>
        <item x="55"/>
        <item x="54"/>
        <item x="11"/>
        <item x="10"/>
        <item x="27"/>
        <item x="26"/>
        <item x="76"/>
        <item x="25"/>
        <item x="9"/>
        <item x="24"/>
        <item x="53"/>
        <item x="52"/>
        <item x="23"/>
        <item x="75"/>
        <item x="22"/>
        <item x="8"/>
        <item x="21"/>
        <item x="7"/>
        <item x="20"/>
        <item x="6"/>
        <item x="51"/>
        <item x="5"/>
        <item x="4"/>
        <item x="50"/>
        <item x="49"/>
        <item x="48"/>
        <item x="74"/>
        <item x="47"/>
        <item x="73"/>
        <item x="46"/>
        <item x="3"/>
        <item x="72"/>
        <item x="2"/>
        <item x="71"/>
        <item x="70"/>
        <item x="1"/>
        <item x="69"/>
        <item x="0"/>
        <item x="45"/>
        <item x="44"/>
        <item x="43"/>
        <item x="42"/>
        <item x="68"/>
        <item x="67"/>
        <item x="66"/>
        <item x="65"/>
        <item x="64"/>
        <item x="63"/>
        <item x="62"/>
        <item x="41"/>
        <item x="40"/>
        <item t="default"/>
      </items>
    </pivotField>
    <pivotField showAll="0">
      <items count="3">
        <item x="0"/>
        <item x="1"/>
        <item t="default"/>
      </items>
    </pivotField>
    <pivotField axis="axisRow" multipleItemSelectionAllowed="1" showAll="0">
      <items count="3">
        <item x="1"/>
        <item x="0"/>
        <item t="default"/>
      </items>
    </pivotField>
    <pivotField axis="axisCol" multipleItemSelectionAllowed="1" showAll="0">
      <items count="3">
        <item x="0"/>
        <item x="1"/>
        <item t="default"/>
      </items>
    </pivotField>
  </pivotFields>
  <rowFields count="2">
    <field x="0"/>
    <field x="3"/>
  </rowFields>
  <rowItems count="270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>
      <x v="5"/>
    </i>
    <i r="1">
      <x/>
    </i>
    <i r="1">
      <x v="1"/>
    </i>
    <i>
      <x v="6"/>
    </i>
    <i r="1">
      <x v="1"/>
    </i>
    <i>
      <x v="7"/>
    </i>
    <i r="1">
      <x/>
    </i>
    <i>
      <x v="8"/>
    </i>
    <i r="1">
      <x v="1"/>
    </i>
    <i>
      <x v="9"/>
    </i>
    <i r="1">
      <x/>
    </i>
    <i r="1">
      <x v="1"/>
    </i>
    <i>
      <x v="10"/>
    </i>
    <i r="1">
      <x/>
    </i>
    <i r="1">
      <x v="1"/>
    </i>
    <i>
      <x v="11"/>
    </i>
    <i r="1">
      <x v="1"/>
    </i>
    <i>
      <x v="12"/>
    </i>
    <i r="1">
      <x/>
    </i>
    <i r="1">
      <x v="1"/>
    </i>
    <i>
      <x v="13"/>
    </i>
    <i r="1">
      <x/>
    </i>
    <i r="1">
      <x v="1"/>
    </i>
    <i>
      <x v="14"/>
    </i>
    <i r="1">
      <x/>
    </i>
    <i r="1">
      <x v="1"/>
    </i>
    <i>
      <x v="15"/>
    </i>
    <i r="1">
      <x/>
    </i>
    <i r="1">
      <x v="1"/>
    </i>
    <i>
      <x v="16"/>
    </i>
    <i r="1">
      <x/>
    </i>
    <i r="1">
      <x v="1"/>
    </i>
    <i>
      <x v="17"/>
    </i>
    <i r="1">
      <x/>
    </i>
    <i r="1">
      <x v="1"/>
    </i>
    <i>
      <x v="18"/>
    </i>
    <i r="1">
      <x/>
    </i>
    <i r="1">
      <x v="1"/>
    </i>
    <i>
      <x v="19"/>
    </i>
    <i r="1">
      <x/>
    </i>
    <i>
      <x v="20"/>
    </i>
    <i r="1">
      <x/>
    </i>
    <i>
      <x v="21"/>
    </i>
    <i r="1">
      <x/>
    </i>
    <i r="1">
      <x v="1"/>
    </i>
    <i>
      <x v="22"/>
    </i>
    <i r="1">
      <x/>
    </i>
    <i>
      <x v="23"/>
    </i>
    <i r="1">
      <x/>
    </i>
    <i r="1">
      <x v="1"/>
    </i>
    <i>
      <x v="24"/>
    </i>
    <i r="1">
      <x/>
    </i>
    <i r="1">
      <x v="1"/>
    </i>
    <i>
      <x v="25"/>
    </i>
    <i r="1">
      <x/>
    </i>
    <i r="1">
      <x v="1"/>
    </i>
    <i>
      <x v="26"/>
    </i>
    <i r="1">
      <x/>
    </i>
    <i r="1">
      <x v="1"/>
    </i>
    <i>
      <x v="27"/>
    </i>
    <i r="1">
      <x/>
    </i>
    <i r="1">
      <x v="1"/>
    </i>
    <i>
      <x v="28"/>
    </i>
    <i r="1">
      <x/>
    </i>
    <i r="1">
      <x v="1"/>
    </i>
    <i>
      <x v="29"/>
    </i>
    <i r="1">
      <x/>
    </i>
    <i r="1">
      <x v="1"/>
    </i>
    <i>
      <x v="30"/>
    </i>
    <i r="1">
      <x/>
    </i>
    <i r="1">
      <x v="1"/>
    </i>
    <i>
      <x v="31"/>
    </i>
    <i r="1">
      <x v="1"/>
    </i>
    <i>
      <x v="32"/>
    </i>
    <i r="1">
      <x/>
    </i>
    <i r="1">
      <x v="1"/>
    </i>
    <i>
      <x v="33"/>
    </i>
    <i r="1">
      <x v="1"/>
    </i>
    <i>
      <x v="34"/>
    </i>
    <i r="1">
      <x/>
    </i>
    <i>
      <x v="35"/>
    </i>
    <i r="1">
      <x/>
    </i>
    <i>
      <x v="36"/>
    </i>
    <i r="1">
      <x/>
    </i>
    <i>
      <x v="37"/>
    </i>
    <i r="1">
      <x/>
    </i>
    <i r="1">
      <x v="1"/>
    </i>
    <i>
      <x v="38"/>
    </i>
    <i r="1">
      <x/>
    </i>
    <i r="1">
      <x v="1"/>
    </i>
    <i>
      <x v="39"/>
    </i>
    <i r="1">
      <x/>
    </i>
    <i r="1">
      <x v="1"/>
    </i>
    <i>
      <x v="40"/>
    </i>
    <i r="1">
      <x/>
    </i>
    <i r="1">
      <x v="1"/>
    </i>
    <i>
      <x v="41"/>
    </i>
    <i r="1">
      <x/>
    </i>
    <i r="1">
      <x v="1"/>
    </i>
    <i>
      <x v="42"/>
    </i>
    <i r="1">
      <x/>
    </i>
    <i r="1">
      <x v="1"/>
    </i>
    <i>
      <x v="43"/>
    </i>
    <i r="1">
      <x v="1"/>
    </i>
    <i>
      <x v="44"/>
    </i>
    <i r="1">
      <x v="1"/>
    </i>
    <i>
      <x v="45"/>
    </i>
    <i r="1">
      <x/>
    </i>
    <i r="1">
      <x v="1"/>
    </i>
    <i>
      <x v="46"/>
    </i>
    <i r="1">
      <x/>
    </i>
    <i r="1">
      <x v="1"/>
    </i>
    <i>
      <x v="47"/>
    </i>
    <i r="1">
      <x/>
    </i>
    <i r="1">
      <x v="1"/>
    </i>
    <i>
      <x v="48"/>
    </i>
    <i r="1">
      <x/>
    </i>
    <i r="1">
      <x v="1"/>
    </i>
    <i>
      <x v="49"/>
    </i>
    <i r="1">
      <x v="1"/>
    </i>
    <i>
      <x v="50"/>
    </i>
    <i r="1">
      <x/>
    </i>
    <i r="1">
      <x v="1"/>
    </i>
    <i>
      <x v="51"/>
    </i>
    <i r="1">
      <x/>
    </i>
    <i r="1">
      <x v="1"/>
    </i>
    <i>
      <x v="52"/>
    </i>
    <i r="1">
      <x/>
    </i>
    <i r="1">
      <x v="1"/>
    </i>
    <i>
      <x v="53"/>
    </i>
    <i r="1">
      <x v="1"/>
    </i>
    <i>
      <x v="54"/>
    </i>
    <i r="1">
      <x/>
    </i>
    <i r="1">
      <x v="1"/>
    </i>
    <i>
      <x v="55"/>
    </i>
    <i r="1">
      <x/>
    </i>
    <i r="1">
      <x v="1"/>
    </i>
    <i>
      <x v="56"/>
    </i>
    <i r="1">
      <x v="1"/>
    </i>
    <i>
      <x v="57"/>
    </i>
    <i r="1">
      <x/>
    </i>
    <i>
      <x v="58"/>
    </i>
    <i r="1">
      <x/>
    </i>
    <i>
      <x v="59"/>
    </i>
    <i r="1">
      <x/>
    </i>
    <i>
      <x v="60"/>
    </i>
    <i r="1">
      <x/>
    </i>
    <i r="1">
      <x v="1"/>
    </i>
    <i>
      <x v="61"/>
    </i>
    <i r="1">
      <x/>
    </i>
    <i r="1">
      <x v="1"/>
    </i>
    <i>
      <x v="62"/>
    </i>
    <i r="1">
      <x v="1"/>
    </i>
    <i>
      <x v="63"/>
    </i>
    <i r="1">
      <x/>
    </i>
    <i r="1">
      <x v="1"/>
    </i>
    <i>
      <x v="64"/>
    </i>
    <i r="1">
      <x v="1"/>
    </i>
    <i>
      <x v="65"/>
    </i>
    <i r="1">
      <x/>
    </i>
    <i r="1">
      <x v="1"/>
    </i>
    <i>
      <x v="66"/>
    </i>
    <i r="1">
      <x/>
    </i>
    <i r="1">
      <x v="1"/>
    </i>
    <i>
      <x v="67"/>
    </i>
    <i r="1">
      <x/>
    </i>
    <i r="1">
      <x v="1"/>
    </i>
    <i>
      <x v="68"/>
    </i>
    <i r="1">
      <x/>
    </i>
    <i>
      <x v="69"/>
    </i>
    <i r="1">
      <x v="1"/>
    </i>
    <i>
      <x v="70"/>
    </i>
    <i r="1">
      <x/>
    </i>
    <i>
      <x v="71"/>
    </i>
    <i r="1">
      <x/>
    </i>
    <i r="1">
      <x v="1"/>
    </i>
    <i>
      <x v="72"/>
    </i>
    <i r="1">
      <x/>
    </i>
    <i>
      <x v="73"/>
    </i>
    <i r="1">
      <x v="1"/>
    </i>
    <i>
      <x v="74"/>
    </i>
    <i r="1">
      <x/>
    </i>
    <i>
      <x v="75"/>
    </i>
    <i r="1">
      <x/>
    </i>
    <i>
      <x v="76"/>
    </i>
    <i r="1">
      <x v="1"/>
    </i>
    <i>
      <x v="77"/>
    </i>
    <i r="1">
      <x/>
    </i>
    <i r="1">
      <x v="1"/>
    </i>
    <i>
      <x v="78"/>
    </i>
    <i r="1">
      <x/>
    </i>
    <i r="1">
      <x v="1"/>
    </i>
    <i>
      <x v="79"/>
    </i>
    <i r="1">
      <x/>
    </i>
    <i>
      <x v="80"/>
    </i>
    <i r="1">
      <x v="1"/>
    </i>
    <i>
      <x v="81"/>
    </i>
    <i r="1">
      <x v="1"/>
    </i>
    <i>
      <x v="82"/>
    </i>
    <i r="1">
      <x/>
    </i>
    <i r="1">
      <x v="1"/>
    </i>
    <i>
      <x v="83"/>
    </i>
    <i r="1">
      <x v="1"/>
    </i>
    <i>
      <x v="84"/>
    </i>
    <i r="1">
      <x/>
    </i>
    <i r="1">
      <x v="1"/>
    </i>
    <i>
      <x v="85"/>
    </i>
    <i r="1">
      <x v="1"/>
    </i>
    <i>
      <x v="86"/>
    </i>
    <i r="1">
      <x/>
    </i>
    <i r="1">
      <x v="1"/>
    </i>
    <i>
      <x v="87"/>
    </i>
    <i r="1">
      <x v="1"/>
    </i>
    <i>
      <x v="88"/>
    </i>
    <i r="1">
      <x/>
    </i>
    <i r="1">
      <x v="1"/>
    </i>
    <i>
      <x v="89"/>
    </i>
    <i r="1">
      <x v="1"/>
    </i>
    <i>
      <x v="90"/>
    </i>
    <i r="1">
      <x/>
    </i>
    <i r="1">
      <x v="1"/>
    </i>
    <i>
      <x v="91"/>
    </i>
    <i r="1">
      <x v="1"/>
    </i>
    <i>
      <x v="92"/>
    </i>
    <i r="1">
      <x v="1"/>
    </i>
    <i>
      <x v="93"/>
    </i>
    <i r="1">
      <x v="1"/>
    </i>
    <i>
      <x v="94"/>
    </i>
    <i r="1">
      <x/>
    </i>
    <i r="1">
      <x v="1"/>
    </i>
    <i>
      <x v="95"/>
    </i>
    <i r="1">
      <x/>
    </i>
    <i r="1">
      <x v="1"/>
    </i>
    <i>
      <x v="96"/>
    </i>
    <i r="1">
      <x/>
    </i>
    <i r="1">
      <x v="1"/>
    </i>
    <i>
      <x v="97"/>
    </i>
    <i r="1">
      <x v="1"/>
    </i>
    <i>
      <x v="98"/>
    </i>
    <i r="1">
      <x v="1"/>
    </i>
    <i>
      <x v="99"/>
    </i>
    <i r="1">
      <x/>
    </i>
    <i r="1">
      <x v="1"/>
    </i>
    <i>
      <x v="100"/>
    </i>
    <i r="1">
      <x/>
    </i>
    <i>
      <x v="101"/>
    </i>
    <i r="1">
      <x/>
    </i>
    <i r="1">
      <x v="1"/>
    </i>
    <i>
      <x v="102"/>
    </i>
    <i r="1">
      <x/>
    </i>
    <i>
      <x v="103"/>
    </i>
    <i r="1">
      <x v="1"/>
    </i>
    <i>
      <x v="104"/>
    </i>
    <i r="1">
      <x v="1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me von Anzahl" fld="1" baseField="0" baseItem="0"/>
  </dataField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00EF2E-E124-47A2-AFA1-E78D87D83D92}" name="DatenHernie" displayName="DatenHernie" ref="A2:E128" totalsRowShown="0" headerRowDxfId="29">
  <autoFilter ref="A2:E128" xr:uid="{3000EF2E-E124-47A2-AFA1-E78D87D83D92}"/>
  <tableColumns count="5">
    <tableColumn id="1" xr3:uid="{0C065F51-0DE2-4EB2-A3A8-DAB14CB8CB82}" name="Art der Leistung" dataDxfId="28"/>
    <tableColumn id="2" xr3:uid="{37894942-E2B4-4BFB-8792-18F0AF25BFF2}" name="Anzahl"/>
    <tableColumn id="3" xr3:uid="{125E1796-445E-47E8-BCAA-24A9FBDE05B8}" name="Kategorie (Labor, Rad, Lunge, EKG)"/>
    <tableColumn id="4" xr3:uid="{33282F9D-B437-41DC-BCC1-C6A379DCCFAA}" name="Operationsart"/>
    <tableColumn id="5" xr3:uid="{199A5FAE-71A4-4AAF-A659-E48212CA041C}" name="KH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DFEB1DC-22FC-4D56-B0DB-CF93545E50E6}" name="HernieVergleich" displayName="HernieVergleich" ref="I1:R88" totalsRowShown="0" headerRowDxfId="27" headerRowBorderDxfId="26" tableBorderDxfId="25">
  <autoFilter ref="I1:R88" xr:uid="{FDFEB1DC-22FC-4D56-B0DB-CF93545E50E6}"/>
  <sortState xmlns:xlrd2="http://schemas.microsoft.com/office/spreadsheetml/2017/richdata2" ref="I2:R88">
    <sortCondition descending="1" ref="O1:O88"/>
  </sortState>
  <tableColumns count="10">
    <tableColumn id="1" xr3:uid="{ED21B38B-C6AE-4AAA-BE22-8168F0A31A14}" name="Art der Leistung" dataDxfId="24"/>
    <tableColumn id="2" xr3:uid="{7F792E0B-069A-47FC-BF41-A43FFE40663F}" name="Kategorie"/>
    <tableColumn id="3" xr3:uid="{8AEA0BE7-E97D-4B9E-94F4-1CF146767721}" name="Operationsart" dataDxfId="23"/>
    <tableColumn id="4" xr3:uid="{B66E1AA5-6F54-4B46-96F4-C8F6FC73547F}" name="Anzahl KH1" dataDxfId="22"/>
    <tableColumn id="5" xr3:uid="{AC496D95-8DDE-4544-9B46-1A2E0A52AF6F}" name="Anzahl KH2" dataDxfId="21"/>
    <tableColumn id="7" xr3:uid="{32024E00-D247-4321-B5AE-D365297DAD78}" name="Durchschnitt" dataDxfId="20">
      <calculatedColumnFormula>AVERAGE(HernieVergleich[[#This Row],[Anzahl KH1]],HernieVergleich[[#This Row],[Anzahl KH2]])</calculatedColumnFormula>
    </tableColumn>
    <tableColumn id="9" xr3:uid="{A69DB945-AA98-406A-84DC-DE3DD529FAED}" name="Absolute Differenz" dataDxfId="19">
      <calculatedColumnFormula>ABS(HernieVergleich[[#This Row],[Anzahl KH1]]-HernieVergleich[[#This Row],[Anzahl KH2]])</calculatedColumnFormula>
    </tableColumn>
    <tableColumn id="8" xr3:uid="{04DAAE9D-0BA9-4039-AC03-0D415CA1C88A}" name="Relative Differenz" dataDxfId="18" dataCellStyle="Prozent">
      <calculatedColumnFormula>IF(MAX(HernieVergleich[[#This Row],[Anzahl KH1]],HernieVergleich[[#This Row],[Anzahl KH2]])=0,0,ABS(HernieVergleich[[#This Row],[Anzahl KH1]]-HernieVergleich[[#This Row],[Anzahl KH2]])/MAX(HernieVergleich[[#This Row],[Anzahl KH1]],HernieVergleich[[#This Row],[Anzahl KH2]]))</calculatedColumnFormula>
    </tableColumn>
    <tableColumn id="10" xr3:uid="{468F9960-A6E3-40CE-B55F-77A0DFA0917C}" name="Ratio" dataDxfId="17">
      <calculatedColumnFormula>IF(MIN(HernieVergleich[[#This Row],[Anzahl KH1]],HernieVergleich[[#This Row],[Anzahl KH2]])=0,"∞",MAX(HernieVergleich[[#This Row],[Anzahl KH1]],HernieVergleich[[#This Row],[Anzahl KH2]])/MIN(HernieVergleich[[#This Row],[Anzahl KH1]],HernieVergleich[[#This Row],[Anzahl KH2]]))</calculatedColumnFormula>
    </tableColumn>
    <tableColumn id="6" xr3:uid="{446B9A6C-BD61-47DC-B2BD-EA9ED14D2C64}" name="Abstand" dataDxfId="16">
      <calculatedColumnFormula>ABS(HernieVergleich[[#This Row],[Anzahl KH1]]-HernieVergleich[[#This Row],[Anzahl KH2]])*0.4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4284AF3-EF47-450D-A78F-70A4C1D0C69B}" name="DatenGalle" displayName="DatenGalle" ref="A2:E127" totalsRowShown="0" headerRowDxfId="15">
  <autoFilter ref="A2:E127" xr:uid="{F4284AF3-EF47-450D-A78F-70A4C1D0C69B}"/>
  <tableColumns count="5">
    <tableColumn id="1" xr3:uid="{07F98B83-0E80-4586-AC88-A2828A0B960E}" name="Art der Leistung" dataDxfId="14"/>
    <tableColumn id="2" xr3:uid="{C1409E84-59C4-4B48-AA69-D20CB2CEE587}" name="Anzahl"/>
    <tableColumn id="3" xr3:uid="{F9C93973-8E80-41AC-851D-02E5262CDB8F}" name="Kategorie (Labor, Rad, Lunge, EKG)"/>
    <tableColumn id="4" xr3:uid="{6C06E4FB-C519-417A-B739-889EE0CD6AFB}" name="Operationsart"/>
    <tableColumn id="5" xr3:uid="{724696F5-14ED-4E54-8F08-35B9B69FCD89}" name="KH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4306749-7783-46F3-9042-A157D6ED0D86}" name="GalleVergleich" displayName="GalleVergleich" ref="I1:R79" totalsRowShown="0" headerRowDxfId="13" headerRowBorderDxfId="12" tableBorderDxfId="11">
  <autoFilter ref="I1:R79" xr:uid="{94306749-7783-46F3-9042-A157D6ED0D86}"/>
  <tableColumns count="10">
    <tableColumn id="1" xr3:uid="{B9AD5591-E20F-41A1-B7DF-6985721B6703}" name="Art der Leistung" dataDxfId="10"/>
    <tableColumn id="2" xr3:uid="{6DF72AA1-4961-42D1-9790-9B7973681708}" name="Kategorie"/>
    <tableColumn id="3" xr3:uid="{649087D9-5A95-4D79-A66E-BC5B05A9CB81}" name="Operationsart" dataDxfId="9"/>
    <tableColumn id="4" xr3:uid="{BFDE25EA-08BA-41CE-B58A-D4B00A4478FC}" name="Anzahl KH1" dataDxfId="8"/>
    <tableColumn id="5" xr3:uid="{F69F8239-D4C4-4682-BB1E-C66ABDFCAA26}" name="Anzahl KH2" dataDxfId="7"/>
    <tableColumn id="7" xr3:uid="{DCB4BC5C-FA67-4574-B611-6AB3C5C8D1C0}" name="Durchschnitt" dataDxfId="6">
      <calculatedColumnFormula>AVERAGE(GalleVergleich[[#This Row],[Anzahl KH1]],GalleVergleich[[#This Row],[Anzahl KH2]])</calculatedColumnFormula>
    </tableColumn>
    <tableColumn id="9" xr3:uid="{5DECA05B-8D2F-4BED-BA77-742482310051}" name="Differenz" dataDxfId="5">
      <calculatedColumnFormula>ABS(GalleVergleich[[#This Row],[Anzahl KH1]]-GalleVergleich[[#This Row],[Anzahl KH2]])</calculatedColumnFormula>
    </tableColumn>
    <tableColumn id="10" xr3:uid="{175B9C0B-2ADC-4E4B-8E43-9ABF2311D0A4}" name="Relative Differenz" dataDxfId="4">
      <calculatedColumnFormula>IF(MAX(GalleVergleich[[#This Row],[Anzahl KH1]],GalleVergleich[[#This Row],[Anzahl KH2]])=0,0,ABS(GalleVergleich[[#This Row],[Anzahl KH1]]-GalleVergleich[[#This Row],[Anzahl KH2]])/MAX(GalleVergleich[[#This Row],[Anzahl KH1]],GalleVergleich[[#This Row],[Anzahl KH2]]))</calculatedColumnFormula>
    </tableColumn>
    <tableColumn id="11" xr3:uid="{ADBA4AB1-ABDE-4B62-8AA1-89F3FC8B9F51}" name="Ratio" dataDxfId="3">
      <calculatedColumnFormula>IF(MIN(GalleVergleich[[#This Row],[Anzahl KH1]],GalleVergleich[[#This Row],[Anzahl KH2]])=0,"∞",MAX(GalleVergleich[[#This Row],[Anzahl KH1]],GalleVergleich[[#This Row],[Anzahl KH2]])/MIN(GalleVergleich[[#This Row],[Anzahl KH1]],GalleVergleich[[#This Row],[Anzahl KH2]]))</calculatedColumnFormula>
    </tableColumn>
    <tableColumn id="6" xr3:uid="{A1085DF6-567F-4318-B552-28BBA2EFA3E6}" name="Abstand" dataDxfId="2">
      <calculatedColumnFormula>ABS(GalleVergleich[[#This Row],[Anzahl KH1]]-GalleVergleich[[#This Row],[Anzahl KH2]])*0.35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70F2170-54DE-461E-97B9-845ED93AE30D}" name="DatenGesamt" displayName="DatenGesamt" ref="A1:F252" totalsRowShown="0" headerRowDxfId="1">
  <autoFilter ref="A1:F252" xr:uid="{270F2170-54DE-461E-97B9-845ED93AE30D}"/>
  <tableColumns count="6">
    <tableColumn id="1" xr3:uid="{4F64B4BF-4C3B-4B0F-9AFB-CC1C8365CE67}" name="Art der Leistung" dataDxfId="0"/>
    <tableColumn id="2" xr3:uid="{D2833169-F023-4517-8708-BD4D6AFC0569}" name="Anzahl"/>
    <tableColumn id="3" xr3:uid="{0DDED592-1C09-4844-B45D-E74E710A1971}" name="Kategorie (Labor, Rad, Lunge, EKG)"/>
    <tableColumn id="4" xr3:uid="{014A6161-B31F-483E-ACA6-0B4EDCAFBD62}" name="Operationsart"/>
    <tableColumn id="5" xr3:uid="{E49E8799-0D91-4385-809B-23A14633E36F}" name="KH"/>
    <tableColumn id="6" xr3:uid="{D2A5669C-243B-4A75-BDD1-71F236EAE56E}" name="AndereKH_Anzahl">
      <calculatedColumnFormula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E3458-7355-4266-B99C-7B92F5841836}">
  <dimension ref="A1:E253"/>
  <sheetViews>
    <sheetView topLeftCell="A92" zoomScale="70" zoomScaleNormal="70" workbookViewId="0">
      <selection activeCell="Q97" sqref="Q97"/>
    </sheetView>
  </sheetViews>
  <sheetFormatPr baseColWidth="10" defaultColWidth="9.109375" defaultRowHeight="14.4" x14ac:dyDescent="0.3"/>
  <cols>
    <col min="1" max="1" width="70.88671875" bestFit="1" customWidth="1"/>
    <col min="2" max="2" width="20.88671875" customWidth="1"/>
    <col min="3" max="3" width="33.5546875" customWidth="1"/>
    <col min="4" max="4" width="15.44140625" customWidth="1"/>
    <col min="5" max="5" width="5.5546875" customWidth="1"/>
  </cols>
  <sheetData>
    <row r="1" spans="1:5" x14ac:dyDescent="0.3">
      <c r="A1" t="s">
        <v>0</v>
      </c>
    </row>
    <row r="2" spans="1:5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3">
      <c r="A3" s="2" t="s">
        <v>6</v>
      </c>
      <c r="B3">
        <v>220</v>
      </c>
      <c r="C3" t="s">
        <v>7</v>
      </c>
      <c r="D3" t="s">
        <v>8</v>
      </c>
      <c r="E3" t="s">
        <v>9</v>
      </c>
    </row>
    <row r="4" spans="1:5" x14ac:dyDescent="0.3">
      <c r="A4" s="2" t="s">
        <v>10</v>
      </c>
      <c r="B4">
        <v>220</v>
      </c>
      <c r="C4" t="s">
        <v>7</v>
      </c>
      <c r="D4" t="s">
        <v>8</v>
      </c>
      <c r="E4" t="s">
        <v>9</v>
      </c>
    </row>
    <row r="5" spans="1:5" x14ac:dyDescent="0.3">
      <c r="A5" s="2" t="s">
        <v>11</v>
      </c>
      <c r="B5">
        <v>175</v>
      </c>
      <c r="C5" t="s">
        <v>7</v>
      </c>
      <c r="D5" t="s">
        <v>8</v>
      </c>
      <c r="E5" t="s">
        <v>9</v>
      </c>
    </row>
    <row r="6" spans="1:5" x14ac:dyDescent="0.3">
      <c r="A6" s="2" t="s">
        <v>12</v>
      </c>
      <c r="B6">
        <v>155</v>
      </c>
      <c r="C6" t="s">
        <v>7</v>
      </c>
      <c r="D6" t="s">
        <v>8</v>
      </c>
      <c r="E6" t="s">
        <v>9</v>
      </c>
    </row>
    <row r="7" spans="1:5" x14ac:dyDescent="0.3">
      <c r="A7" s="2" t="s">
        <v>13</v>
      </c>
      <c r="B7">
        <v>144</v>
      </c>
      <c r="C7" t="s">
        <v>7</v>
      </c>
      <c r="D7" t="s">
        <v>8</v>
      </c>
      <c r="E7" t="s">
        <v>9</v>
      </c>
    </row>
    <row r="8" spans="1:5" x14ac:dyDescent="0.3">
      <c r="A8" s="2" t="s">
        <v>14</v>
      </c>
      <c r="B8">
        <v>114</v>
      </c>
      <c r="C8" t="s">
        <v>7</v>
      </c>
      <c r="D8" t="s">
        <v>8</v>
      </c>
      <c r="E8" t="s">
        <v>9</v>
      </c>
    </row>
    <row r="9" spans="1:5" x14ac:dyDescent="0.3">
      <c r="A9" s="2" t="s">
        <v>15</v>
      </c>
      <c r="B9">
        <v>114</v>
      </c>
      <c r="C9" t="s">
        <v>7</v>
      </c>
      <c r="D9" t="s">
        <v>8</v>
      </c>
      <c r="E9" t="s">
        <v>9</v>
      </c>
    </row>
    <row r="10" spans="1:5" x14ac:dyDescent="0.3">
      <c r="A10" s="2" t="s">
        <v>16</v>
      </c>
      <c r="B10">
        <v>111</v>
      </c>
      <c r="C10" t="s">
        <v>7</v>
      </c>
      <c r="D10" t="s">
        <v>8</v>
      </c>
      <c r="E10" t="s">
        <v>9</v>
      </c>
    </row>
    <row r="11" spans="1:5" x14ac:dyDescent="0.3">
      <c r="A11" s="2" t="s">
        <v>17</v>
      </c>
      <c r="B11">
        <v>111</v>
      </c>
      <c r="C11" t="s">
        <v>7</v>
      </c>
      <c r="D11" t="s">
        <v>8</v>
      </c>
      <c r="E11" t="s">
        <v>9</v>
      </c>
    </row>
    <row r="12" spans="1:5" x14ac:dyDescent="0.3">
      <c r="A12" s="2" t="s">
        <v>18</v>
      </c>
      <c r="B12">
        <v>111</v>
      </c>
      <c r="C12" t="s">
        <v>7</v>
      </c>
      <c r="D12" t="s">
        <v>8</v>
      </c>
      <c r="E12" t="s">
        <v>9</v>
      </c>
    </row>
    <row r="13" spans="1:5" x14ac:dyDescent="0.3">
      <c r="A13" s="2" t="s">
        <v>19</v>
      </c>
      <c r="B13">
        <v>102</v>
      </c>
      <c r="C13" t="s">
        <v>7</v>
      </c>
      <c r="D13" t="s">
        <v>8</v>
      </c>
      <c r="E13" t="s">
        <v>9</v>
      </c>
    </row>
    <row r="14" spans="1:5" x14ac:dyDescent="0.3">
      <c r="A14" s="2" t="s">
        <v>20</v>
      </c>
      <c r="B14">
        <v>97</v>
      </c>
      <c r="C14" t="s">
        <v>7</v>
      </c>
      <c r="D14" t="s">
        <v>8</v>
      </c>
      <c r="E14" t="s">
        <v>9</v>
      </c>
    </row>
    <row r="15" spans="1:5" x14ac:dyDescent="0.3">
      <c r="A15" s="2" t="s">
        <v>21</v>
      </c>
      <c r="B15">
        <v>97</v>
      </c>
      <c r="C15" t="s">
        <v>7</v>
      </c>
      <c r="D15" t="s">
        <v>8</v>
      </c>
      <c r="E15" t="s">
        <v>9</v>
      </c>
    </row>
    <row r="16" spans="1:5" x14ac:dyDescent="0.3">
      <c r="A16" s="2" t="s">
        <v>22</v>
      </c>
      <c r="B16">
        <v>97</v>
      </c>
      <c r="C16" t="s">
        <v>7</v>
      </c>
      <c r="D16" t="s">
        <v>8</v>
      </c>
      <c r="E16" t="s">
        <v>9</v>
      </c>
    </row>
    <row r="17" spans="1:5" x14ac:dyDescent="0.3">
      <c r="A17" s="2" t="s">
        <v>23</v>
      </c>
      <c r="B17">
        <v>97</v>
      </c>
      <c r="C17" t="s">
        <v>7</v>
      </c>
      <c r="D17" t="s">
        <v>8</v>
      </c>
      <c r="E17" t="s">
        <v>9</v>
      </c>
    </row>
    <row r="18" spans="1:5" x14ac:dyDescent="0.3">
      <c r="A18" s="2" t="s">
        <v>24</v>
      </c>
      <c r="B18">
        <v>94</v>
      </c>
      <c r="C18" t="s">
        <v>7</v>
      </c>
      <c r="D18" t="s">
        <v>8</v>
      </c>
      <c r="E18" t="s">
        <v>9</v>
      </c>
    </row>
    <row r="19" spans="1:5" x14ac:dyDescent="0.3">
      <c r="A19" s="2" t="s">
        <v>25</v>
      </c>
      <c r="B19">
        <v>94</v>
      </c>
      <c r="C19" t="s">
        <v>7</v>
      </c>
      <c r="D19" t="s">
        <v>8</v>
      </c>
      <c r="E19" t="s">
        <v>9</v>
      </c>
    </row>
    <row r="20" spans="1:5" x14ac:dyDescent="0.3">
      <c r="A20" s="2" t="s">
        <v>26</v>
      </c>
      <c r="B20">
        <v>73</v>
      </c>
      <c r="C20" t="s">
        <v>7</v>
      </c>
      <c r="D20" t="s">
        <v>8</v>
      </c>
      <c r="E20" t="s">
        <v>9</v>
      </c>
    </row>
    <row r="21" spans="1:5" x14ac:dyDescent="0.3">
      <c r="A21" s="2" t="s">
        <v>27</v>
      </c>
      <c r="B21">
        <v>66</v>
      </c>
      <c r="C21" t="s">
        <v>7</v>
      </c>
      <c r="D21" t="s">
        <v>8</v>
      </c>
      <c r="E21" t="s">
        <v>9</v>
      </c>
    </row>
    <row r="22" spans="1:5" x14ac:dyDescent="0.3">
      <c r="A22" s="2" t="s">
        <v>28</v>
      </c>
      <c r="B22">
        <v>65</v>
      </c>
      <c r="C22" t="s">
        <v>7</v>
      </c>
      <c r="D22" t="s">
        <v>8</v>
      </c>
      <c r="E22" t="s">
        <v>9</v>
      </c>
    </row>
    <row r="23" spans="1:5" x14ac:dyDescent="0.3">
      <c r="A23" s="2" t="s">
        <v>29</v>
      </c>
      <c r="B23">
        <v>57</v>
      </c>
      <c r="C23" t="s">
        <v>7</v>
      </c>
      <c r="D23" t="s">
        <v>8</v>
      </c>
      <c r="E23" t="s">
        <v>9</v>
      </c>
    </row>
    <row r="24" spans="1:5" x14ac:dyDescent="0.3">
      <c r="A24" s="2" t="s">
        <v>30</v>
      </c>
      <c r="B24">
        <v>57</v>
      </c>
      <c r="C24" t="s">
        <v>7</v>
      </c>
      <c r="D24" t="s">
        <v>8</v>
      </c>
      <c r="E24" t="s">
        <v>9</v>
      </c>
    </row>
    <row r="25" spans="1:5" x14ac:dyDescent="0.3">
      <c r="A25" s="2" t="s">
        <v>31</v>
      </c>
      <c r="B25">
        <v>57</v>
      </c>
      <c r="C25" t="s">
        <v>7</v>
      </c>
      <c r="D25" t="s">
        <v>8</v>
      </c>
      <c r="E25" t="s">
        <v>9</v>
      </c>
    </row>
    <row r="26" spans="1:5" x14ac:dyDescent="0.3">
      <c r="A26" s="2" t="s">
        <v>32</v>
      </c>
      <c r="B26">
        <v>57</v>
      </c>
      <c r="C26" t="s">
        <v>7</v>
      </c>
      <c r="D26" t="s">
        <v>8</v>
      </c>
      <c r="E26" t="s">
        <v>9</v>
      </c>
    </row>
    <row r="27" spans="1:5" x14ac:dyDescent="0.3">
      <c r="A27" s="2" t="s">
        <v>33</v>
      </c>
      <c r="B27">
        <v>57</v>
      </c>
      <c r="C27" t="s">
        <v>7</v>
      </c>
      <c r="D27" t="s">
        <v>8</v>
      </c>
      <c r="E27" t="s">
        <v>9</v>
      </c>
    </row>
    <row r="28" spans="1:5" x14ac:dyDescent="0.3">
      <c r="A28" s="2" t="s">
        <v>34</v>
      </c>
      <c r="B28">
        <v>50</v>
      </c>
      <c r="C28" t="s">
        <v>7</v>
      </c>
      <c r="D28" t="s">
        <v>8</v>
      </c>
      <c r="E28" t="s">
        <v>9</v>
      </c>
    </row>
    <row r="29" spans="1:5" x14ac:dyDescent="0.3">
      <c r="A29" s="2" t="s">
        <v>35</v>
      </c>
      <c r="B29">
        <v>48</v>
      </c>
      <c r="C29" t="s">
        <v>7</v>
      </c>
      <c r="D29" t="s">
        <v>8</v>
      </c>
      <c r="E29" t="s">
        <v>9</v>
      </c>
    </row>
    <row r="30" spans="1:5" x14ac:dyDescent="0.3">
      <c r="A30" s="2" t="s">
        <v>36</v>
      </c>
      <c r="B30">
        <v>29</v>
      </c>
      <c r="C30" t="s">
        <v>7</v>
      </c>
      <c r="D30" t="s">
        <v>8</v>
      </c>
      <c r="E30" t="s">
        <v>9</v>
      </c>
    </row>
    <row r="31" spans="1:5" x14ac:dyDescent="0.3">
      <c r="A31" s="2" t="s">
        <v>37</v>
      </c>
      <c r="B31">
        <v>20</v>
      </c>
      <c r="C31" t="s">
        <v>7</v>
      </c>
      <c r="D31" t="s">
        <v>8</v>
      </c>
      <c r="E31" t="s">
        <v>9</v>
      </c>
    </row>
    <row r="32" spans="1:5" x14ac:dyDescent="0.3">
      <c r="A32" s="2" t="s">
        <v>38</v>
      </c>
      <c r="B32">
        <v>20</v>
      </c>
      <c r="C32" t="s">
        <v>7</v>
      </c>
      <c r="D32" t="s">
        <v>8</v>
      </c>
      <c r="E32" t="s">
        <v>9</v>
      </c>
    </row>
    <row r="33" spans="1:5" x14ac:dyDescent="0.3">
      <c r="A33" s="2" t="s">
        <v>39</v>
      </c>
      <c r="B33">
        <v>11</v>
      </c>
      <c r="C33" t="s">
        <v>7</v>
      </c>
      <c r="D33" t="s">
        <v>8</v>
      </c>
      <c r="E33" t="s">
        <v>9</v>
      </c>
    </row>
    <row r="34" spans="1:5" x14ac:dyDescent="0.3">
      <c r="A34" s="2" t="s">
        <v>40</v>
      </c>
      <c r="B34">
        <v>10</v>
      </c>
      <c r="C34" t="s">
        <v>7</v>
      </c>
      <c r="D34" t="s">
        <v>8</v>
      </c>
      <c r="E34" t="s">
        <v>9</v>
      </c>
    </row>
    <row r="35" spans="1:5" x14ac:dyDescent="0.3">
      <c r="A35" s="2" t="s">
        <v>41</v>
      </c>
      <c r="B35">
        <v>10</v>
      </c>
      <c r="C35" t="s">
        <v>7</v>
      </c>
      <c r="D35" t="s">
        <v>8</v>
      </c>
      <c r="E35" t="s">
        <v>9</v>
      </c>
    </row>
    <row r="36" spans="1:5" x14ac:dyDescent="0.3">
      <c r="A36" s="2" t="s">
        <v>42</v>
      </c>
      <c r="B36">
        <v>10</v>
      </c>
      <c r="C36" t="s">
        <v>7</v>
      </c>
      <c r="D36" t="s">
        <v>8</v>
      </c>
      <c r="E36" t="s">
        <v>9</v>
      </c>
    </row>
    <row r="37" spans="1:5" x14ac:dyDescent="0.3">
      <c r="A37" s="2" t="s">
        <v>43</v>
      </c>
      <c r="B37">
        <v>10</v>
      </c>
      <c r="C37" t="s">
        <v>7</v>
      </c>
      <c r="D37" t="s">
        <v>8</v>
      </c>
      <c r="E37" t="s">
        <v>9</v>
      </c>
    </row>
    <row r="38" spans="1:5" x14ac:dyDescent="0.3">
      <c r="A38" s="2" t="s">
        <v>44</v>
      </c>
      <c r="B38">
        <v>9</v>
      </c>
      <c r="C38" t="s">
        <v>7</v>
      </c>
      <c r="D38" t="s">
        <v>8</v>
      </c>
      <c r="E38" t="s">
        <v>9</v>
      </c>
    </row>
    <row r="39" spans="1:5" x14ac:dyDescent="0.3">
      <c r="A39" s="2" t="s">
        <v>45</v>
      </c>
      <c r="B39">
        <v>9</v>
      </c>
      <c r="C39" t="s">
        <v>7</v>
      </c>
      <c r="D39" t="s">
        <v>8</v>
      </c>
      <c r="E39" t="s">
        <v>9</v>
      </c>
    </row>
    <row r="40" spans="1:5" x14ac:dyDescent="0.3">
      <c r="A40" s="2" t="s">
        <v>46</v>
      </c>
      <c r="B40">
        <v>9</v>
      </c>
      <c r="C40" t="s">
        <v>7</v>
      </c>
      <c r="D40" t="s">
        <v>8</v>
      </c>
      <c r="E40" t="s">
        <v>9</v>
      </c>
    </row>
    <row r="41" spans="1:5" x14ac:dyDescent="0.3">
      <c r="A41" s="2" t="s">
        <v>47</v>
      </c>
      <c r="B41">
        <v>9</v>
      </c>
      <c r="C41" t="s">
        <v>7</v>
      </c>
      <c r="D41" t="s">
        <v>8</v>
      </c>
      <c r="E41" t="s">
        <v>9</v>
      </c>
    </row>
    <row r="42" spans="1:5" x14ac:dyDescent="0.3">
      <c r="A42" s="2" t="s">
        <v>48</v>
      </c>
      <c r="B42">
        <v>9</v>
      </c>
      <c r="C42" t="s">
        <v>7</v>
      </c>
      <c r="D42" t="s">
        <v>8</v>
      </c>
      <c r="E42" t="s">
        <v>9</v>
      </c>
    </row>
    <row r="43" spans="1:5" x14ac:dyDescent="0.3">
      <c r="A43" s="2" t="s">
        <v>10</v>
      </c>
      <c r="B43">
        <v>98</v>
      </c>
      <c r="C43" t="s">
        <v>7</v>
      </c>
      <c r="D43" t="s">
        <v>8</v>
      </c>
      <c r="E43" t="s">
        <v>49</v>
      </c>
    </row>
    <row r="44" spans="1:5" x14ac:dyDescent="0.3">
      <c r="A44" s="2" t="s">
        <v>6</v>
      </c>
      <c r="B44">
        <v>98</v>
      </c>
      <c r="C44" t="s">
        <v>7</v>
      </c>
      <c r="D44" t="s">
        <v>8</v>
      </c>
      <c r="E44" t="s">
        <v>49</v>
      </c>
    </row>
    <row r="45" spans="1:5" x14ac:dyDescent="0.3">
      <c r="A45" s="2" t="s">
        <v>34</v>
      </c>
      <c r="B45">
        <v>98</v>
      </c>
      <c r="C45" t="s">
        <v>7</v>
      </c>
      <c r="D45" t="s">
        <v>8</v>
      </c>
      <c r="E45" t="s">
        <v>49</v>
      </c>
    </row>
    <row r="46" spans="1:5" x14ac:dyDescent="0.3">
      <c r="A46" s="2" t="s">
        <v>11</v>
      </c>
      <c r="B46">
        <v>97</v>
      </c>
      <c r="C46" t="s">
        <v>7</v>
      </c>
      <c r="D46" t="s">
        <v>8</v>
      </c>
      <c r="E46" t="s">
        <v>49</v>
      </c>
    </row>
    <row r="47" spans="1:5" x14ac:dyDescent="0.3">
      <c r="A47" s="2" t="s">
        <v>36</v>
      </c>
      <c r="B47">
        <v>95</v>
      </c>
      <c r="C47" t="s">
        <v>7</v>
      </c>
      <c r="D47" t="s">
        <v>8</v>
      </c>
      <c r="E47" t="s">
        <v>49</v>
      </c>
    </row>
    <row r="48" spans="1:5" x14ac:dyDescent="0.3">
      <c r="A48" s="2" t="s">
        <v>13</v>
      </c>
      <c r="B48">
        <v>95</v>
      </c>
      <c r="C48" t="s">
        <v>7</v>
      </c>
      <c r="D48" t="s">
        <v>8</v>
      </c>
      <c r="E48" t="s">
        <v>49</v>
      </c>
    </row>
    <row r="49" spans="1:5" x14ac:dyDescent="0.3">
      <c r="A49" s="2" t="s">
        <v>26</v>
      </c>
      <c r="B49">
        <v>93</v>
      </c>
      <c r="C49" t="s">
        <v>7</v>
      </c>
      <c r="D49" t="s">
        <v>8</v>
      </c>
      <c r="E49" t="s">
        <v>49</v>
      </c>
    </row>
    <row r="50" spans="1:5" x14ac:dyDescent="0.3">
      <c r="A50" s="2" t="s">
        <v>29</v>
      </c>
      <c r="B50">
        <v>88</v>
      </c>
      <c r="C50" t="s">
        <v>7</v>
      </c>
      <c r="D50" t="s">
        <v>8</v>
      </c>
      <c r="E50" t="s">
        <v>49</v>
      </c>
    </row>
    <row r="51" spans="1:5" x14ac:dyDescent="0.3">
      <c r="A51" s="2" t="s">
        <v>19</v>
      </c>
      <c r="B51">
        <v>74</v>
      </c>
      <c r="C51" t="s">
        <v>7</v>
      </c>
      <c r="D51" t="s">
        <v>8</v>
      </c>
      <c r="E51" t="s">
        <v>49</v>
      </c>
    </row>
    <row r="52" spans="1:5" x14ac:dyDescent="0.3">
      <c r="A52" s="2" t="s">
        <v>17</v>
      </c>
      <c r="B52">
        <v>73</v>
      </c>
      <c r="C52" t="s">
        <v>7</v>
      </c>
      <c r="D52" t="s">
        <v>8</v>
      </c>
      <c r="E52" t="s">
        <v>49</v>
      </c>
    </row>
    <row r="53" spans="1:5" x14ac:dyDescent="0.3">
      <c r="A53" s="2" t="s">
        <v>18</v>
      </c>
      <c r="B53">
        <v>73</v>
      </c>
      <c r="C53" t="s">
        <v>7</v>
      </c>
      <c r="D53" t="s">
        <v>8</v>
      </c>
      <c r="E53" t="s">
        <v>49</v>
      </c>
    </row>
    <row r="54" spans="1:5" x14ac:dyDescent="0.3">
      <c r="A54" s="2" t="s">
        <v>16</v>
      </c>
      <c r="B54">
        <v>73</v>
      </c>
      <c r="C54" t="s">
        <v>7</v>
      </c>
      <c r="D54" t="s">
        <v>8</v>
      </c>
      <c r="E54" t="s">
        <v>49</v>
      </c>
    </row>
    <row r="55" spans="1:5" x14ac:dyDescent="0.3">
      <c r="A55" s="2" t="s">
        <v>12</v>
      </c>
      <c r="B55">
        <v>72</v>
      </c>
      <c r="C55" t="s">
        <v>7</v>
      </c>
      <c r="D55" t="s">
        <v>8</v>
      </c>
      <c r="E55" t="s">
        <v>49</v>
      </c>
    </row>
    <row r="56" spans="1:5" x14ac:dyDescent="0.3">
      <c r="A56" s="2" t="s">
        <v>25</v>
      </c>
      <c r="B56">
        <v>72</v>
      </c>
      <c r="C56" t="s">
        <v>7</v>
      </c>
      <c r="D56" t="s">
        <v>8</v>
      </c>
      <c r="E56" t="s">
        <v>49</v>
      </c>
    </row>
    <row r="57" spans="1:5" x14ac:dyDescent="0.3">
      <c r="A57" s="2" t="s">
        <v>15</v>
      </c>
      <c r="B57">
        <v>72</v>
      </c>
      <c r="C57" t="s">
        <v>7</v>
      </c>
      <c r="D57" t="s">
        <v>8</v>
      </c>
      <c r="E57" t="s">
        <v>49</v>
      </c>
    </row>
    <row r="58" spans="1:5" x14ac:dyDescent="0.3">
      <c r="A58" s="2" t="s">
        <v>14</v>
      </c>
      <c r="B58">
        <v>72</v>
      </c>
      <c r="C58" t="s">
        <v>7</v>
      </c>
      <c r="D58" t="s">
        <v>8</v>
      </c>
      <c r="E58" t="s">
        <v>49</v>
      </c>
    </row>
    <row r="59" spans="1:5" x14ac:dyDescent="0.3">
      <c r="A59" s="2" t="s">
        <v>24</v>
      </c>
      <c r="B59">
        <v>72</v>
      </c>
      <c r="C59" t="s">
        <v>7</v>
      </c>
      <c r="D59" t="s">
        <v>8</v>
      </c>
      <c r="E59" t="s">
        <v>49</v>
      </c>
    </row>
    <row r="60" spans="1:5" x14ac:dyDescent="0.3">
      <c r="A60" s="2" t="s">
        <v>35</v>
      </c>
      <c r="B60">
        <v>72</v>
      </c>
      <c r="C60" t="s">
        <v>7</v>
      </c>
      <c r="D60" t="s">
        <v>8</v>
      </c>
      <c r="E60" t="s">
        <v>49</v>
      </c>
    </row>
    <row r="61" spans="1:5" x14ac:dyDescent="0.3">
      <c r="A61" s="2" t="s">
        <v>50</v>
      </c>
      <c r="B61">
        <v>70</v>
      </c>
      <c r="C61" t="s">
        <v>7</v>
      </c>
      <c r="D61" t="s">
        <v>8</v>
      </c>
      <c r="E61" t="s">
        <v>49</v>
      </c>
    </row>
    <row r="62" spans="1:5" x14ac:dyDescent="0.3">
      <c r="A62" s="2" t="s">
        <v>21</v>
      </c>
      <c r="B62">
        <v>70</v>
      </c>
      <c r="C62" t="s">
        <v>7</v>
      </c>
      <c r="D62" t="s">
        <v>8</v>
      </c>
      <c r="E62" t="s">
        <v>49</v>
      </c>
    </row>
    <row r="63" spans="1:5" x14ac:dyDescent="0.3">
      <c r="A63" s="2" t="s">
        <v>22</v>
      </c>
      <c r="B63">
        <v>70</v>
      </c>
      <c r="C63" t="s">
        <v>7</v>
      </c>
      <c r="D63" t="s">
        <v>8</v>
      </c>
      <c r="E63" t="s">
        <v>49</v>
      </c>
    </row>
    <row r="64" spans="1:5" x14ac:dyDescent="0.3">
      <c r="A64" s="2" t="s">
        <v>23</v>
      </c>
      <c r="B64">
        <v>70</v>
      </c>
      <c r="C64" t="s">
        <v>7</v>
      </c>
      <c r="D64" t="s">
        <v>8</v>
      </c>
      <c r="E64" t="s">
        <v>49</v>
      </c>
    </row>
    <row r="65" spans="1:5" x14ac:dyDescent="0.3">
      <c r="A65" s="2" t="s">
        <v>20</v>
      </c>
      <c r="B65">
        <v>70</v>
      </c>
      <c r="C65" t="s">
        <v>7</v>
      </c>
      <c r="D65" t="s">
        <v>8</v>
      </c>
      <c r="E65" t="s">
        <v>49</v>
      </c>
    </row>
    <row r="66" spans="1:5" x14ac:dyDescent="0.3">
      <c r="A66" s="2" t="s">
        <v>41</v>
      </c>
      <c r="B66">
        <v>67</v>
      </c>
      <c r="C66" t="s">
        <v>7</v>
      </c>
      <c r="D66" t="s">
        <v>8</v>
      </c>
      <c r="E66" t="s">
        <v>49</v>
      </c>
    </row>
    <row r="67" spans="1:5" x14ac:dyDescent="0.3">
      <c r="A67" s="2" t="s">
        <v>27</v>
      </c>
      <c r="B67">
        <v>13</v>
      </c>
      <c r="C67" t="s">
        <v>7</v>
      </c>
      <c r="D67" t="s">
        <v>8</v>
      </c>
      <c r="E67" t="s">
        <v>49</v>
      </c>
    </row>
    <row r="68" spans="1:5" x14ac:dyDescent="0.3">
      <c r="A68" s="2" t="s">
        <v>51</v>
      </c>
      <c r="B68">
        <v>12</v>
      </c>
      <c r="C68" t="s">
        <v>7</v>
      </c>
      <c r="D68" t="s">
        <v>8</v>
      </c>
      <c r="E68" t="s">
        <v>49</v>
      </c>
    </row>
    <row r="69" spans="1:5" x14ac:dyDescent="0.3">
      <c r="A69" s="2" t="s">
        <v>52</v>
      </c>
      <c r="B69">
        <v>12</v>
      </c>
      <c r="C69" t="s">
        <v>7</v>
      </c>
      <c r="D69" t="s">
        <v>8</v>
      </c>
      <c r="E69" t="s">
        <v>49</v>
      </c>
    </row>
    <row r="70" spans="1:5" x14ac:dyDescent="0.3">
      <c r="A70" s="2" t="s">
        <v>53</v>
      </c>
      <c r="B70">
        <v>10</v>
      </c>
      <c r="C70" t="s">
        <v>7</v>
      </c>
      <c r="D70" t="s">
        <v>8</v>
      </c>
      <c r="E70" t="s">
        <v>49</v>
      </c>
    </row>
    <row r="71" spans="1:5" x14ac:dyDescent="0.3">
      <c r="A71" s="2" t="s">
        <v>54</v>
      </c>
      <c r="B71">
        <v>8</v>
      </c>
      <c r="C71" t="s">
        <v>7</v>
      </c>
      <c r="D71" t="s">
        <v>8</v>
      </c>
      <c r="E71" t="s">
        <v>49</v>
      </c>
    </row>
    <row r="72" spans="1:5" x14ac:dyDescent="0.3">
      <c r="A72" s="2" t="s">
        <v>55</v>
      </c>
      <c r="B72">
        <v>8</v>
      </c>
      <c r="C72" t="s">
        <v>7</v>
      </c>
      <c r="D72" t="s">
        <v>8</v>
      </c>
      <c r="E72" t="s">
        <v>49</v>
      </c>
    </row>
    <row r="73" spans="1:5" x14ac:dyDescent="0.3">
      <c r="A73" s="2" t="s">
        <v>56</v>
      </c>
      <c r="B73">
        <v>4</v>
      </c>
      <c r="C73" t="s">
        <v>7</v>
      </c>
      <c r="D73" t="s">
        <v>8</v>
      </c>
      <c r="E73" t="s">
        <v>49</v>
      </c>
    </row>
    <row r="74" spans="1:5" x14ac:dyDescent="0.3">
      <c r="A74" s="2" t="s">
        <v>57</v>
      </c>
      <c r="B74">
        <v>3</v>
      </c>
      <c r="C74" t="s">
        <v>7</v>
      </c>
      <c r="D74" t="s">
        <v>8</v>
      </c>
      <c r="E74" t="s">
        <v>49</v>
      </c>
    </row>
    <row r="75" spans="1:5" x14ac:dyDescent="0.3">
      <c r="A75" s="2" t="s">
        <v>37</v>
      </c>
      <c r="B75">
        <v>3</v>
      </c>
      <c r="C75" t="s">
        <v>7</v>
      </c>
      <c r="D75" t="s">
        <v>8</v>
      </c>
      <c r="E75" t="s">
        <v>49</v>
      </c>
    </row>
    <row r="76" spans="1:5" x14ac:dyDescent="0.3">
      <c r="A76" s="2" t="s">
        <v>28</v>
      </c>
      <c r="B76">
        <v>3</v>
      </c>
      <c r="C76" t="s">
        <v>7</v>
      </c>
      <c r="D76" t="s">
        <v>8</v>
      </c>
      <c r="E76" t="s">
        <v>49</v>
      </c>
    </row>
    <row r="77" spans="1:5" x14ac:dyDescent="0.3">
      <c r="A77" s="2" t="s">
        <v>58</v>
      </c>
      <c r="B77">
        <v>2</v>
      </c>
      <c r="C77" t="s">
        <v>7</v>
      </c>
      <c r="D77" t="s">
        <v>8</v>
      </c>
      <c r="E77" t="s">
        <v>49</v>
      </c>
    </row>
    <row r="78" spans="1:5" x14ac:dyDescent="0.3">
      <c r="A78" s="2" t="s">
        <v>59</v>
      </c>
      <c r="B78">
        <v>2</v>
      </c>
      <c r="C78" t="s">
        <v>7</v>
      </c>
      <c r="D78" t="s">
        <v>8</v>
      </c>
      <c r="E78" t="s">
        <v>49</v>
      </c>
    </row>
    <row r="79" spans="1:5" x14ac:dyDescent="0.3">
      <c r="A79" s="2" t="s">
        <v>60</v>
      </c>
      <c r="B79">
        <v>2</v>
      </c>
      <c r="C79" t="s">
        <v>7</v>
      </c>
      <c r="D79" t="s">
        <v>8</v>
      </c>
      <c r="E79" t="s">
        <v>49</v>
      </c>
    </row>
    <row r="80" spans="1:5" x14ac:dyDescent="0.3">
      <c r="A80" s="2" t="s">
        <v>61</v>
      </c>
      <c r="B80">
        <v>2</v>
      </c>
      <c r="C80" t="s">
        <v>7</v>
      </c>
      <c r="D80" t="s">
        <v>8</v>
      </c>
      <c r="E80" t="s">
        <v>49</v>
      </c>
    </row>
    <row r="81" spans="1:5" x14ac:dyDescent="0.3">
      <c r="A81" s="2" t="s">
        <v>38</v>
      </c>
      <c r="B81">
        <v>2</v>
      </c>
      <c r="C81" t="s">
        <v>7</v>
      </c>
      <c r="D81" t="s">
        <v>8</v>
      </c>
      <c r="E81" t="s">
        <v>49</v>
      </c>
    </row>
    <row r="82" spans="1:5" x14ac:dyDescent="0.3">
      <c r="A82" s="2" t="s">
        <v>62</v>
      </c>
      <c r="B82">
        <v>16</v>
      </c>
      <c r="C82" t="s">
        <v>63</v>
      </c>
      <c r="D82" t="s">
        <v>8</v>
      </c>
      <c r="E82" t="s">
        <v>9</v>
      </c>
    </row>
    <row r="83" spans="1:5" x14ac:dyDescent="0.3">
      <c r="A83" s="2" t="s">
        <v>64</v>
      </c>
      <c r="B83">
        <v>12</v>
      </c>
      <c r="C83" t="s">
        <v>63</v>
      </c>
      <c r="D83" t="s">
        <v>8</v>
      </c>
      <c r="E83" t="s">
        <v>9</v>
      </c>
    </row>
    <row r="84" spans="1:5" x14ac:dyDescent="0.3">
      <c r="A84" s="2" t="s">
        <v>65</v>
      </c>
      <c r="B84">
        <v>6</v>
      </c>
      <c r="C84" t="s">
        <v>63</v>
      </c>
      <c r="D84" t="s">
        <v>8</v>
      </c>
      <c r="E84" t="s">
        <v>9</v>
      </c>
    </row>
    <row r="85" spans="1:5" x14ac:dyDescent="0.3">
      <c r="A85" s="2" t="s">
        <v>66</v>
      </c>
      <c r="B85">
        <v>6</v>
      </c>
      <c r="C85" t="s">
        <v>63</v>
      </c>
      <c r="D85" t="s">
        <v>8</v>
      </c>
      <c r="E85" t="s">
        <v>9</v>
      </c>
    </row>
    <row r="86" spans="1:5" x14ac:dyDescent="0.3">
      <c r="A86" s="2" t="s">
        <v>67</v>
      </c>
      <c r="B86">
        <v>6</v>
      </c>
      <c r="C86" t="s">
        <v>63</v>
      </c>
      <c r="D86" t="s">
        <v>8</v>
      </c>
      <c r="E86" t="s">
        <v>9</v>
      </c>
    </row>
    <row r="87" spans="1:5" x14ac:dyDescent="0.3">
      <c r="A87" s="2" t="s">
        <v>68</v>
      </c>
      <c r="B87">
        <v>6</v>
      </c>
      <c r="C87" t="s">
        <v>63</v>
      </c>
      <c r="D87" t="s">
        <v>8</v>
      </c>
      <c r="E87" t="s">
        <v>9</v>
      </c>
    </row>
    <row r="88" spans="1:5" x14ac:dyDescent="0.3">
      <c r="A88" s="2" t="s">
        <v>69</v>
      </c>
      <c r="B88">
        <v>6</v>
      </c>
      <c r="C88" t="s">
        <v>63</v>
      </c>
      <c r="D88" t="s">
        <v>8</v>
      </c>
      <c r="E88" t="s">
        <v>9</v>
      </c>
    </row>
    <row r="89" spans="1:5" x14ac:dyDescent="0.3">
      <c r="A89" s="2" t="s">
        <v>70</v>
      </c>
      <c r="B89">
        <v>6</v>
      </c>
      <c r="C89" t="s">
        <v>63</v>
      </c>
      <c r="D89" t="s">
        <v>8</v>
      </c>
      <c r="E89" t="s">
        <v>9</v>
      </c>
    </row>
    <row r="90" spans="1:5" x14ac:dyDescent="0.3">
      <c r="A90" s="2" t="s">
        <v>71</v>
      </c>
      <c r="B90">
        <v>6</v>
      </c>
      <c r="C90" t="s">
        <v>63</v>
      </c>
      <c r="D90" t="s">
        <v>8</v>
      </c>
      <c r="E90" t="s">
        <v>9</v>
      </c>
    </row>
    <row r="91" spans="1:5" x14ac:dyDescent="0.3">
      <c r="A91" s="2" t="s">
        <v>72</v>
      </c>
      <c r="B91">
        <v>6</v>
      </c>
      <c r="C91" t="s">
        <v>63</v>
      </c>
      <c r="D91" t="s">
        <v>8</v>
      </c>
      <c r="E91" t="s">
        <v>9</v>
      </c>
    </row>
    <row r="92" spans="1:5" x14ac:dyDescent="0.3">
      <c r="A92" s="2" t="s">
        <v>73</v>
      </c>
      <c r="B92">
        <v>4</v>
      </c>
      <c r="C92" t="s">
        <v>63</v>
      </c>
      <c r="D92" t="s">
        <v>8</v>
      </c>
      <c r="E92" t="s">
        <v>9</v>
      </c>
    </row>
    <row r="93" spans="1:5" x14ac:dyDescent="0.3">
      <c r="A93" s="2" t="s">
        <v>74</v>
      </c>
      <c r="B93">
        <v>4</v>
      </c>
      <c r="C93" t="s">
        <v>63</v>
      </c>
      <c r="D93" t="s">
        <v>8</v>
      </c>
      <c r="E93" t="s">
        <v>9</v>
      </c>
    </row>
    <row r="94" spans="1:5" x14ac:dyDescent="0.3">
      <c r="A94" s="2" t="s">
        <v>75</v>
      </c>
      <c r="B94">
        <v>4</v>
      </c>
      <c r="C94" t="s">
        <v>63</v>
      </c>
      <c r="D94" t="s">
        <v>8</v>
      </c>
      <c r="E94" t="s">
        <v>9</v>
      </c>
    </row>
    <row r="95" spans="1:5" x14ac:dyDescent="0.3">
      <c r="A95" s="2" t="s">
        <v>76</v>
      </c>
      <c r="B95">
        <v>4</v>
      </c>
      <c r="C95" t="s">
        <v>63</v>
      </c>
      <c r="D95" t="s">
        <v>8</v>
      </c>
      <c r="E95" t="s">
        <v>9</v>
      </c>
    </row>
    <row r="96" spans="1:5" x14ac:dyDescent="0.3">
      <c r="A96" s="2" t="s">
        <v>77</v>
      </c>
      <c r="B96">
        <v>4</v>
      </c>
      <c r="C96" t="s">
        <v>63</v>
      </c>
      <c r="D96" t="s">
        <v>8</v>
      </c>
      <c r="E96" t="s">
        <v>9</v>
      </c>
    </row>
    <row r="97" spans="1:5" x14ac:dyDescent="0.3">
      <c r="A97" s="2" t="s">
        <v>78</v>
      </c>
      <c r="B97">
        <v>4</v>
      </c>
      <c r="C97" t="s">
        <v>63</v>
      </c>
      <c r="D97" t="s">
        <v>8</v>
      </c>
      <c r="E97" t="s">
        <v>9</v>
      </c>
    </row>
    <row r="98" spans="1:5" x14ac:dyDescent="0.3">
      <c r="A98" s="2" t="s">
        <v>79</v>
      </c>
      <c r="B98">
        <v>3</v>
      </c>
      <c r="C98" t="s">
        <v>63</v>
      </c>
      <c r="D98" t="s">
        <v>8</v>
      </c>
      <c r="E98" t="s">
        <v>9</v>
      </c>
    </row>
    <row r="99" spans="1:5" x14ac:dyDescent="0.3">
      <c r="A99" s="2" t="s">
        <v>80</v>
      </c>
      <c r="B99">
        <v>3</v>
      </c>
      <c r="C99" t="s">
        <v>63</v>
      </c>
      <c r="D99" t="s">
        <v>8</v>
      </c>
      <c r="E99" t="s">
        <v>9</v>
      </c>
    </row>
    <row r="100" spans="1:5" x14ac:dyDescent="0.3">
      <c r="A100" s="2" t="s">
        <v>81</v>
      </c>
      <c r="B100">
        <v>2</v>
      </c>
      <c r="C100" t="s">
        <v>63</v>
      </c>
      <c r="D100" t="s">
        <v>8</v>
      </c>
      <c r="E100" t="s">
        <v>9</v>
      </c>
    </row>
    <row r="101" spans="1:5" x14ac:dyDescent="0.3">
      <c r="A101" s="2" t="s">
        <v>82</v>
      </c>
      <c r="B101">
        <v>2</v>
      </c>
      <c r="C101" t="s">
        <v>63</v>
      </c>
      <c r="D101" t="s">
        <v>8</v>
      </c>
      <c r="E101" t="s">
        <v>9</v>
      </c>
    </row>
    <row r="102" spans="1:5" x14ac:dyDescent="0.3">
      <c r="A102" s="2" t="s">
        <v>83</v>
      </c>
      <c r="B102">
        <v>2</v>
      </c>
      <c r="C102" t="s">
        <v>63</v>
      </c>
      <c r="D102" t="s">
        <v>8</v>
      </c>
      <c r="E102" t="s">
        <v>9</v>
      </c>
    </row>
    <row r="103" spans="1:5" x14ac:dyDescent="0.3">
      <c r="A103" s="2" t="s">
        <v>84</v>
      </c>
      <c r="B103">
        <v>2</v>
      </c>
      <c r="C103" t="s">
        <v>63</v>
      </c>
      <c r="D103" t="s">
        <v>8</v>
      </c>
      <c r="E103" t="s">
        <v>9</v>
      </c>
    </row>
    <row r="104" spans="1:5" x14ac:dyDescent="0.3">
      <c r="A104" s="2" t="s">
        <v>85</v>
      </c>
      <c r="B104">
        <v>1</v>
      </c>
      <c r="C104" t="s">
        <v>63</v>
      </c>
      <c r="D104" t="s">
        <v>8</v>
      </c>
      <c r="E104" t="s">
        <v>9</v>
      </c>
    </row>
    <row r="105" spans="1:5" x14ac:dyDescent="0.3">
      <c r="A105" s="2" t="s">
        <v>86</v>
      </c>
      <c r="B105">
        <v>1</v>
      </c>
      <c r="C105" t="s">
        <v>63</v>
      </c>
      <c r="D105" t="s">
        <v>8</v>
      </c>
      <c r="E105" t="s">
        <v>9</v>
      </c>
    </row>
    <row r="106" spans="1:5" x14ac:dyDescent="0.3">
      <c r="A106" s="2" t="s">
        <v>87</v>
      </c>
      <c r="B106">
        <v>1</v>
      </c>
      <c r="C106" t="s">
        <v>63</v>
      </c>
      <c r="D106" t="s">
        <v>8</v>
      </c>
      <c r="E106" t="s">
        <v>9</v>
      </c>
    </row>
    <row r="107" spans="1:5" x14ac:dyDescent="0.3">
      <c r="A107" s="2" t="s">
        <v>88</v>
      </c>
      <c r="B107">
        <v>1</v>
      </c>
      <c r="C107" t="s">
        <v>63</v>
      </c>
      <c r="D107" t="s">
        <v>8</v>
      </c>
      <c r="E107" t="s">
        <v>9</v>
      </c>
    </row>
    <row r="108" spans="1:5" x14ac:dyDescent="0.3">
      <c r="A108" s="2" t="s">
        <v>89</v>
      </c>
      <c r="B108">
        <v>1</v>
      </c>
      <c r="C108" t="s">
        <v>63</v>
      </c>
      <c r="D108" t="s">
        <v>8</v>
      </c>
      <c r="E108" t="s">
        <v>9</v>
      </c>
    </row>
    <row r="109" spans="1:5" x14ac:dyDescent="0.3">
      <c r="A109" s="2" t="s">
        <v>90</v>
      </c>
      <c r="B109">
        <v>1</v>
      </c>
      <c r="C109" t="s">
        <v>63</v>
      </c>
      <c r="D109" t="s">
        <v>8</v>
      </c>
      <c r="E109" t="s">
        <v>9</v>
      </c>
    </row>
    <row r="110" spans="1:5" x14ac:dyDescent="0.3">
      <c r="A110" s="2" t="s">
        <v>91</v>
      </c>
      <c r="B110">
        <v>1</v>
      </c>
      <c r="C110" t="s">
        <v>63</v>
      </c>
      <c r="D110" t="s">
        <v>8</v>
      </c>
      <c r="E110" t="s">
        <v>9</v>
      </c>
    </row>
    <row r="111" spans="1:5" x14ac:dyDescent="0.3">
      <c r="A111" s="2" t="s">
        <v>92</v>
      </c>
      <c r="B111">
        <v>1</v>
      </c>
      <c r="C111" t="s">
        <v>63</v>
      </c>
      <c r="D111" t="s">
        <v>8</v>
      </c>
      <c r="E111" t="s">
        <v>9</v>
      </c>
    </row>
    <row r="112" spans="1:5" x14ac:dyDescent="0.3">
      <c r="A112" s="2" t="s">
        <v>93</v>
      </c>
      <c r="B112">
        <v>1</v>
      </c>
      <c r="C112" t="s">
        <v>63</v>
      </c>
      <c r="D112" t="s">
        <v>8</v>
      </c>
      <c r="E112" t="s">
        <v>9</v>
      </c>
    </row>
    <row r="113" spans="1:5" x14ac:dyDescent="0.3">
      <c r="A113" s="2" t="s">
        <v>94</v>
      </c>
      <c r="B113">
        <v>1</v>
      </c>
      <c r="C113" t="s">
        <v>63</v>
      </c>
      <c r="D113" t="s">
        <v>8</v>
      </c>
      <c r="E113" t="s">
        <v>9</v>
      </c>
    </row>
    <row r="114" spans="1:5" x14ac:dyDescent="0.3">
      <c r="A114" s="2" t="s">
        <v>95</v>
      </c>
      <c r="B114">
        <v>1</v>
      </c>
      <c r="C114" t="s">
        <v>63</v>
      </c>
      <c r="D114" t="s">
        <v>8</v>
      </c>
      <c r="E114" t="s">
        <v>9</v>
      </c>
    </row>
    <row r="115" spans="1:5" x14ac:dyDescent="0.3">
      <c r="A115" s="2" t="s">
        <v>62</v>
      </c>
      <c r="B115">
        <v>29</v>
      </c>
      <c r="C115" t="s">
        <v>63</v>
      </c>
      <c r="D115" t="s">
        <v>8</v>
      </c>
      <c r="E115" t="s">
        <v>49</v>
      </c>
    </row>
    <row r="116" spans="1:5" x14ac:dyDescent="0.3">
      <c r="A116" s="2" t="s">
        <v>71</v>
      </c>
      <c r="B116">
        <v>27</v>
      </c>
      <c r="C116" t="s">
        <v>63</v>
      </c>
      <c r="D116" t="s">
        <v>8</v>
      </c>
      <c r="E116" t="s">
        <v>49</v>
      </c>
    </row>
    <row r="117" spans="1:5" x14ac:dyDescent="0.3">
      <c r="A117" s="2" t="s">
        <v>75</v>
      </c>
      <c r="B117">
        <v>15</v>
      </c>
      <c r="C117" t="s">
        <v>63</v>
      </c>
      <c r="D117" t="s">
        <v>8</v>
      </c>
      <c r="E117" t="s">
        <v>49</v>
      </c>
    </row>
    <row r="118" spans="1:5" x14ac:dyDescent="0.3">
      <c r="A118" s="2" t="s">
        <v>76</v>
      </c>
      <c r="B118">
        <v>8</v>
      </c>
      <c r="C118" t="s">
        <v>63</v>
      </c>
      <c r="D118" t="s">
        <v>8</v>
      </c>
      <c r="E118" t="s">
        <v>49</v>
      </c>
    </row>
    <row r="119" spans="1:5" x14ac:dyDescent="0.3">
      <c r="A119" s="2" t="s">
        <v>73</v>
      </c>
      <c r="B119">
        <v>8</v>
      </c>
      <c r="C119" t="s">
        <v>63</v>
      </c>
      <c r="D119" t="s">
        <v>8</v>
      </c>
      <c r="E119" t="s">
        <v>49</v>
      </c>
    </row>
    <row r="120" spans="1:5" x14ac:dyDescent="0.3">
      <c r="A120" s="2" t="s">
        <v>72</v>
      </c>
      <c r="B120">
        <v>5</v>
      </c>
      <c r="C120" t="s">
        <v>63</v>
      </c>
      <c r="D120" t="s">
        <v>8</v>
      </c>
      <c r="E120" t="s">
        <v>49</v>
      </c>
    </row>
    <row r="121" spans="1:5" x14ac:dyDescent="0.3">
      <c r="A121" s="2" t="s">
        <v>64</v>
      </c>
      <c r="B121">
        <v>2</v>
      </c>
      <c r="C121" t="s">
        <v>63</v>
      </c>
      <c r="D121" t="s">
        <v>8</v>
      </c>
      <c r="E121" t="s">
        <v>49</v>
      </c>
    </row>
    <row r="122" spans="1:5" x14ac:dyDescent="0.3">
      <c r="A122" s="2" t="s">
        <v>69</v>
      </c>
      <c r="B122">
        <v>1</v>
      </c>
      <c r="C122" t="s">
        <v>63</v>
      </c>
      <c r="D122" t="s">
        <v>8</v>
      </c>
      <c r="E122" t="s">
        <v>49</v>
      </c>
    </row>
    <row r="123" spans="1:5" x14ac:dyDescent="0.3">
      <c r="A123" s="2" t="s">
        <v>96</v>
      </c>
      <c r="B123">
        <v>1</v>
      </c>
      <c r="C123" t="s">
        <v>63</v>
      </c>
      <c r="D123" t="s">
        <v>8</v>
      </c>
      <c r="E123" t="s">
        <v>49</v>
      </c>
    </row>
    <row r="124" spans="1:5" x14ac:dyDescent="0.3">
      <c r="A124" s="2" t="s">
        <v>87</v>
      </c>
      <c r="B124">
        <v>1</v>
      </c>
      <c r="C124" t="s">
        <v>63</v>
      </c>
      <c r="D124" t="s">
        <v>8</v>
      </c>
      <c r="E124" t="s">
        <v>49</v>
      </c>
    </row>
    <row r="125" spans="1:5" x14ac:dyDescent="0.3">
      <c r="A125" s="2" t="s">
        <v>77</v>
      </c>
      <c r="B125">
        <v>1</v>
      </c>
      <c r="C125" t="s">
        <v>63</v>
      </c>
      <c r="D125" t="s">
        <v>8</v>
      </c>
      <c r="E125" t="s">
        <v>49</v>
      </c>
    </row>
    <row r="126" spans="1:5" x14ac:dyDescent="0.3">
      <c r="A126" s="2" t="s">
        <v>80</v>
      </c>
      <c r="B126">
        <v>1</v>
      </c>
      <c r="C126" t="s">
        <v>63</v>
      </c>
      <c r="D126" t="s">
        <v>8</v>
      </c>
      <c r="E126" t="s">
        <v>49</v>
      </c>
    </row>
    <row r="127" spans="1:5" x14ac:dyDescent="0.3">
      <c r="A127" s="2" t="s">
        <v>97</v>
      </c>
      <c r="B127">
        <v>1</v>
      </c>
      <c r="C127" t="s">
        <v>63</v>
      </c>
      <c r="D127" t="s">
        <v>8</v>
      </c>
      <c r="E127" t="s">
        <v>49</v>
      </c>
    </row>
    <row r="128" spans="1:5" x14ac:dyDescent="0.3">
      <c r="A128" s="2" t="s">
        <v>81</v>
      </c>
      <c r="B128">
        <v>1</v>
      </c>
      <c r="C128" t="s">
        <v>63</v>
      </c>
      <c r="D128" t="s">
        <v>8</v>
      </c>
      <c r="E128" t="s">
        <v>49</v>
      </c>
    </row>
    <row r="129" spans="1:1" x14ac:dyDescent="0.3">
      <c r="A129" s="2"/>
    </row>
    <row r="130" spans="1:1" x14ac:dyDescent="0.3">
      <c r="A130" s="2"/>
    </row>
    <row r="131" spans="1:1" x14ac:dyDescent="0.3">
      <c r="A131" s="2"/>
    </row>
    <row r="132" spans="1:1" x14ac:dyDescent="0.3">
      <c r="A132" s="2"/>
    </row>
    <row r="133" spans="1:1" x14ac:dyDescent="0.3">
      <c r="A133" s="2"/>
    </row>
    <row r="134" spans="1:1" x14ac:dyDescent="0.3">
      <c r="A134" s="2"/>
    </row>
    <row r="135" spans="1:1" x14ac:dyDescent="0.3">
      <c r="A135" s="2"/>
    </row>
    <row r="136" spans="1:1" x14ac:dyDescent="0.3">
      <c r="A136" s="2"/>
    </row>
    <row r="137" spans="1:1" x14ac:dyDescent="0.3">
      <c r="A137" s="2"/>
    </row>
    <row r="138" spans="1:1" x14ac:dyDescent="0.3">
      <c r="A138" s="2"/>
    </row>
    <row r="139" spans="1:1" x14ac:dyDescent="0.3">
      <c r="A139" s="2"/>
    </row>
    <row r="140" spans="1:1" x14ac:dyDescent="0.3">
      <c r="A140" s="2"/>
    </row>
    <row r="141" spans="1:1" x14ac:dyDescent="0.3">
      <c r="A141" s="2"/>
    </row>
    <row r="142" spans="1:1" x14ac:dyDescent="0.3">
      <c r="A142" s="2"/>
    </row>
    <row r="143" spans="1:1" x14ac:dyDescent="0.3">
      <c r="A143" s="2"/>
    </row>
    <row r="144" spans="1:1" x14ac:dyDescent="0.3">
      <c r="A144" s="2"/>
    </row>
    <row r="145" spans="1:1" x14ac:dyDescent="0.3">
      <c r="A145" s="2"/>
    </row>
    <row r="146" spans="1:1" x14ac:dyDescent="0.3">
      <c r="A146" s="2"/>
    </row>
    <row r="147" spans="1:1" x14ac:dyDescent="0.3">
      <c r="A147" s="2"/>
    </row>
    <row r="148" spans="1:1" x14ac:dyDescent="0.3">
      <c r="A148" s="2"/>
    </row>
    <row r="149" spans="1:1" x14ac:dyDescent="0.3">
      <c r="A149" s="2"/>
    </row>
    <row r="150" spans="1:1" x14ac:dyDescent="0.3">
      <c r="A150" s="2"/>
    </row>
    <row r="151" spans="1:1" x14ac:dyDescent="0.3">
      <c r="A151" s="2"/>
    </row>
    <row r="152" spans="1:1" x14ac:dyDescent="0.3">
      <c r="A152" s="2"/>
    </row>
    <row r="153" spans="1:1" x14ac:dyDescent="0.3">
      <c r="A153" s="2"/>
    </row>
    <row r="154" spans="1:1" x14ac:dyDescent="0.3">
      <c r="A154" s="2"/>
    </row>
    <row r="155" spans="1:1" x14ac:dyDescent="0.3">
      <c r="A155" s="2"/>
    </row>
    <row r="156" spans="1:1" x14ac:dyDescent="0.3">
      <c r="A156" s="2"/>
    </row>
    <row r="157" spans="1:1" x14ac:dyDescent="0.3">
      <c r="A157" s="2"/>
    </row>
    <row r="158" spans="1:1" x14ac:dyDescent="0.3">
      <c r="A158" s="2"/>
    </row>
    <row r="159" spans="1:1" x14ac:dyDescent="0.3">
      <c r="A159" s="2"/>
    </row>
    <row r="160" spans="1:1" x14ac:dyDescent="0.3">
      <c r="A160" s="2"/>
    </row>
    <row r="161" spans="1:1" x14ac:dyDescent="0.3">
      <c r="A161" s="2"/>
    </row>
    <row r="162" spans="1:1" x14ac:dyDescent="0.3">
      <c r="A162" s="2"/>
    </row>
    <row r="163" spans="1:1" x14ac:dyDescent="0.3">
      <c r="A163" s="2"/>
    </row>
    <row r="164" spans="1:1" x14ac:dyDescent="0.3">
      <c r="A164" s="2"/>
    </row>
    <row r="165" spans="1:1" x14ac:dyDescent="0.3">
      <c r="A165" s="2"/>
    </row>
    <row r="166" spans="1:1" x14ac:dyDescent="0.3">
      <c r="A166" s="2"/>
    </row>
    <row r="167" spans="1:1" x14ac:dyDescent="0.3">
      <c r="A167" s="2"/>
    </row>
    <row r="168" spans="1:1" x14ac:dyDescent="0.3">
      <c r="A168" s="2"/>
    </row>
    <row r="169" spans="1:1" x14ac:dyDescent="0.3">
      <c r="A169" s="2"/>
    </row>
    <row r="170" spans="1:1" x14ac:dyDescent="0.3">
      <c r="A170" s="2"/>
    </row>
    <row r="171" spans="1:1" x14ac:dyDescent="0.3">
      <c r="A171" s="2"/>
    </row>
    <row r="172" spans="1:1" x14ac:dyDescent="0.3">
      <c r="A172" s="2"/>
    </row>
    <row r="173" spans="1:1" x14ac:dyDescent="0.3">
      <c r="A173" s="2"/>
    </row>
    <row r="174" spans="1:1" x14ac:dyDescent="0.3">
      <c r="A174" s="2"/>
    </row>
    <row r="175" spans="1:1" x14ac:dyDescent="0.3">
      <c r="A175" s="2"/>
    </row>
    <row r="176" spans="1:1" x14ac:dyDescent="0.3">
      <c r="A176" s="2"/>
    </row>
    <row r="177" spans="1:1" x14ac:dyDescent="0.3">
      <c r="A177" s="2"/>
    </row>
    <row r="178" spans="1:1" x14ac:dyDescent="0.3">
      <c r="A178" s="2"/>
    </row>
    <row r="179" spans="1:1" x14ac:dyDescent="0.3">
      <c r="A179" s="2"/>
    </row>
    <row r="180" spans="1:1" x14ac:dyDescent="0.3">
      <c r="A180" s="2"/>
    </row>
    <row r="181" spans="1:1" x14ac:dyDescent="0.3">
      <c r="A181" s="2"/>
    </row>
    <row r="182" spans="1:1" x14ac:dyDescent="0.3">
      <c r="A182" s="2"/>
    </row>
    <row r="183" spans="1:1" x14ac:dyDescent="0.3">
      <c r="A183" s="2"/>
    </row>
    <row r="184" spans="1:1" x14ac:dyDescent="0.3">
      <c r="A184" s="2"/>
    </row>
    <row r="185" spans="1:1" x14ac:dyDescent="0.3">
      <c r="A185" s="2"/>
    </row>
    <row r="186" spans="1:1" x14ac:dyDescent="0.3">
      <c r="A186" s="2"/>
    </row>
    <row r="187" spans="1:1" x14ac:dyDescent="0.3">
      <c r="A187" s="2"/>
    </row>
    <row r="188" spans="1:1" x14ac:dyDescent="0.3">
      <c r="A188" s="2"/>
    </row>
    <row r="189" spans="1:1" x14ac:dyDescent="0.3">
      <c r="A189" s="2"/>
    </row>
    <row r="190" spans="1:1" x14ac:dyDescent="0.3">
      <c r="A190" s="2"/>
    </row>
    <row r="191" spans="1:1" x14ac:dyDescent="0.3">
      <c r="A191" s="2"/>
    </row>
    <row r="192" spans="1:1" x14ac:dyDescent="0.3">
      <c r="A192" s="2"/>
    </row>
    <row r="193" spans="1:1" x14ac:dyDescent="0.3">
      <c r="A193" s="2"/>
    </row>
    <row r="194" spans="1:1" x14ac:dyDescent="0.3">
      <c r="A194" s="2"/>
    </row>
    <row r="195" spans="1:1" x14ac:dyDescent="0.3">
      <c r="A195" s="2"/>
    </row>
    <row r="196" spans="1:1" x14ac:dyDescent="0.3">
      <c r="A196" s="2"/>
    </row>
    <row r="197" spans="1:1" x14ac:dyDescent="0.3">
      <c r="A197" s="2"/>
    </row>
    <row r="198" spans="1:1" x14ac:dyDescent="0.3">
      <c r="A198" s="2"/>
    </row>
    <row r="199" spans="1:1" x14ac:dyDescent="0.3">
      <c r="A199" s="2"/>
    </row>
    <row r="200" spans="1:1" x14ac:dyDescent="0.3">
      <c r="A200" s="2"/>
    </row>
    <row r="201" spans="1:1" x14ac:dyDescent="0.3">
      <c r="A201" s="2"/>
    </row>
    <row r="202" spans="1:1" x14ac:dyDescent="0.3">
      <c r="A202" s="2"/>
    </row>
    <row r="203" spans="1:1" x14ac:dyDescent="0.3">
      <c r="A203" s="2"/>
    </row>
    <row r="204" spans="1:1" x14ac:dyDescent="0.3">
      <c r="A204" s="2"/>
    </row>
    <row r="205" spans="1:1" x14ac:dyDescent="0.3">
      <c r="A205" s="2"/>
    </row>
    <row r="206" spans="1:1" x14ac:dyDescent="0.3">
      <c r="A206" s="2"/>
    </row>
    <row r="207" spans="1:1" x14ac:dyDescent="0.3">
      <c r="A207" s="2"/>
    </row>
    <row r="208" spans="1:1" x14ac:dyDescent="0.3">
      <c r="A208" s="2"/>
    </row>
    <row r="209" spans="1:1" x14ac:dyDescent="0.3">
      <c r="A209" s="2"/>
    </row>
    <row r="210" spans="1:1" x14ac:dyDescent="0.3">
      <c r="A210" s="2"/>
    </row>
    <row r="211" spans="1:1" x14ac:dyDescent="0.3">
      <c r="A211" s="2"/>
    </row>
    <row r="212" spans="1:1" x14ac:dyDescent="0.3">
      <c r="A212" s="2"/>
    </row>
    <row r="213" spans="1:1" x14ac:dyDescent="0.3">
      <c r="A213" s="2"/>
    </row>
    <row r="214" spans="1:1" x14ac:dyDescent="0.3">
      <c r="A214" s="2"/>
    </row>
    <row r="215" spans="1:1" x14ac:dyDescent="0.3">
      <c r="A215" s="2"/>
    </row>
    <row r="216" spans="1:1" x14ac:dyDescent="0.3">
      <c r="A216" s="2"/>
    </row>
    <row r="217" spans="1:1" x14ac:dyDescent="0.3">
      <c r="A217" s="2"/>
    </row>
    <row r="218" spans="1:1" x14ac:dyDescent="0.3">
      <c r="A218" s="2"/>
    </row>
    <row r="219" spans="1:1" x14ac:dyDescent="0.3">
      <c r="A219" s="2"/>
    </row>
    <row r="220" spans="1:1" x14ac:dyDescent="0.3">
      <c r="A220" s="2"/>
    </row>
    <row r="221" spans="1:1" x14ac:dyDescent="0.3">
      <c r="A221" s="2"/>
    </row>
    <row r="222" spans="1:1" x14ac:dyDescent="0.3">
      <c r="A222" s="2"/>
    </row>
    <row r="223" spans="1:1" x14ac:dyDescent="0.3">
      <c r="A223" s="2"/>
    </row>
    <row r="224" spans="1:1" x14ac:dyDescent="0.3">
      <c r="A224" s="2"/>
    </row>
    <row r="225" spans="1:1" x14ac:dyDescent="0.3">
      <c r="A225" s="2"/>
    </row>
    <row r="226" spans="1:1" x14ac:dyDescent="0.3">
      <c r="A226" s="2"/>
    </row>
    <row r="227" spans="1:1" x14ac:dyDescent="0.3">
      <c r="A227" s="2"/>
    </row>
    <row r="228" spans="1:1" x14ac:dyDescent="0.3">
      <c r="A228" s="2"/>
    </row>
    <row r="229" spans="1:1" x14ac:dyDescent="0.3">
      <c r="A229" s="2"/>
    </row>
    <row r="230" spans="1:1" x14ac:dyDescent="0.3">
      <c r="A230" s="2"/>
    </row>
    <row r="231" spans="1:1" x14ac:dyDescent="0.3">
      <c r="A231" s="2"/>
    </row>
    <row r="232" spans="1:1" x14ac:dyDescent="0.3">
      <c r="A232" s="2"/>
    </row>
    <row r="233" spans="1:1" x14ac:dyDescent="0.3">
      <c r="A233" s="2"/>
    </row>
    <row r="234" spans="1:1" x14ac:dyDescent="0.3">
      <c r="A234" s="2"/>
    </row>
    <row r="235" spans="1:1" x14ac:dyDescent="0.3">
      <c r="A235" s="2"/>
    </row>
    <row r="236" spans="1:1" x14ac:dyDescent="0.3">
      <c r="A236" s="2"/>
    </row>
    <row r="237" spans="1:1" x14ac:dyDescent="0.3">
      <c r="A237" s="2"/>
    </row>
    <row r="238" spans="1:1" x14ac:dyDescent="0.3">
      <c r="A238" s="2"/>
    </row>
    <row r="239" spans="1:1" x14ac:dyDescent="0.3">
      <c r="A239" s="2"/>
    </row>
    <row r="240" spans="1:1" x14ac:dyDescent="0.3">
      <c r="A240" s="2"/>
    </row>
    <row r="241" spans="1:1" x14ac:dyDescent="0.3">
      <c r="A241" s="2"/>
    </row>
    <row r="242" spans="1:1" x14ac:dyDescent="0.3">
      <c r="A242" s="2"/>
    </row>
    <row r="243" spans="1:1" x14ac:dyDescent="0.3">
      <c r="A243" s="2"/>
    </row>
    <row r="244" spans="1:1" x14ac:dyDescent="0.3">
      <c r="A244" s="2"/>
    </row>
    <row r="245" spans="1:1" x14ac:dyDescent="0.3">
      <c r="A245" s="2"/>
    </row>
    <row r="246" spans="1:1" x14ac:dyDescent="0.3">
      <c r="A246" s="2"/>
    </row>
    <row r="247" spans="1:1" x14ac:dyDescent="0.3">
      <c r="A247" s="2"/>
    </row>
    <row r="248" spans="1:1" x14ac:dyDescent="0.3">
      <c r="A248" s="2"/>
    </row>
    <row r="249" spans="1:1" x14ac:dyDescent="0.3">
      <c r="A249" s="2"/>
    </row>
    <row r="250" spans="1:1" x14ac:dyDescent="0.3">
      <c r="A250" s="2"/>
    </row>
    <row r="251" spans="1:1" x14ac:dyDescent="0.3">
      <c r="A251" s="2"/>
    </row>
    <row r="252" spans="1:1" x14ac:dyDescent="0.3">
      <c r="A252" s="2"/>
    </row>
    <row r="253" spans="1:1" x14ac:dyDescent="0.3">
      <c r="A253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70E55-3A79-4DAB-840C-B83C1B0EBEE2}">
  <dimension ref="A1:R142"/>
  <sheetViews>
    <sheetView topLeftCell="I1" zoomScale="55" zoomScaleNormal="40" workbookViewId="0">
      <selection activeCell="K12" sqref="K12"/>
    </sheetView>
  </sheetViews>
  <sheetFormatPr baseColWidth="10" defaultColWidth="11.44140625" defaultRowHeight="14.4" x14ac:dyDescent="0.3"/>
  <cols>
    <col min="1" max="1" width="70.5546875" hidden="1" customWidth="1"/>
    <col min="2" max="2" width="35.5546875" hidden="1" customWidth="1"/>
    <col min="3" max="3" width="17.44140625" hidden="1" customWidth="1"/>
    <col min="4" max="6" width="14.109375" hidden="1" customWidth="1"/>
    <col min="7" max="7" width="11.44140625" customWidth="1"/>
    <col min="9" max="9" width="74.109375" bestFit="1" customWidth="1"/>
    <col min="10" max="10" width="21.6640625" customWidth="1"/>
    <col min="11" max="11" width="26.44140625" bestFit="1" customWidth="1"/>
    <col min="12" max="12" width="22.44140625" bestFit="1" customWidth="1"/>
    <col min="13" max="13" width="23" bestFit="1" customWidth="1"/>
    <col min="14" max="14" width="24.88671875" bestFit="1" customWidth="1"/>
    <col min="15" max="15" width="19.44140625" bestFit="1" customWidth="1"/>
    <col min="16" max="16" width="33.44140625" bestFit="1" customWidth="1"/>
    <col min="17" max="17" width="14.33203125" customWidth="1"/>
    <col min="21" max="21" width="27.6640625" customWidth="1"/>
    <col min="22" max="24" width="27.109375" bestFit="1" customWidth="1"/>
    <col min="50" max="50" width="15.88671875" customWidth="1"/>
  </cols>
  <sheetData>
    <row r="1" spans="1:18" ht="18.600000000000001" thickBot="1" x14ac:dyDescent="0.4">
      <c r="A1" s="12" t="s">
        <v>1</v>
      </c>
      <c r="B1" s="13" t="s">
        <v>98</v>
      </c>
      <c r="C1" s="13" t="s">
        <v>4</v>
      </c>
      <c r="D1" s="13" t="s">
        <v>99</v>
      </c>
      <c r="E1" s="13" t="s">
        <v>100</v>
      </c>
      <c r="F1" s="15" t="s">
        <v>101</v>
      </c>
      <c r="I1" s="16" t="s">
        <v>1</v>
      </c>
      <c r="J1" s="17" t="s">
        <v>98</v>
      </c>
      <c r="K1" s="17" t="s">
        <v>4</v>
      </c>
      <c r="L1" s="17" t="s">
        <v>99</v>
      </c>
      <c r="M1" s="17" t="s">
        <v>100</v>
      </c>
      <c r="N1" s="18" t="s">
        <v>102</v>
      </c>
      <c r="O1" s="18" t="s">
        <v>103</v>
      </c>
      <c r="P1" s="20" t="s">
        <v>104</v>
      </c>
      <c r="Q1" s="18" t="s">
        <v>105</v>
      </c>
      <c r="R1" s="18" t="s">
        <v>106</v>
      </c>
    </row>
    <row r="2" spans="1:18" x14ac:dyDescent="0.3">
      <c r="A2" s="4" t="str" cm="1">
        <f t="array" ref="A2:A88">_xlfn.UNIQUE(DatenHernie[Art der Leistung])</f>
        <v>Bestimmung der Erythrozyten-Verteilungsbreite</v>
      </c>
      <c r="B2" t="str" cm="1">
        <f t="array" ref="B2">_xlfn.XLOOKUP(A2,TRIM(DatenHernie[Art der Leistung]),DatenHernie[Kategorie (Labor, Rad, Lunge, EKG)],"")</f>
        <v>Laborleistungen</v>
      </c>
      <c r="C2" s="7" t="str" cm="1">
        <f t="array" ref="C2">_xlfn.XLOOKUP(A2,TRIM(DatenHernie[Art der Leistung]),DatenHernie[Operationsart],"")</f>
        <v>Hernie</v>
      </c>
      <c r="D2" s="7">
        <f>SUMIFS(DatenHernie[Anzahl],DatenHernie[Art der Leistung],$A2,DatenHernie[Kategorie (Labor, Rad, Lunge, EKG)],$B2,DatenHernie[Operationsart],$C2,DatenHernie[KH],"KH 1")</f>
        <v>220</v>
      </c>
      <c r="E2" s="7">
        <f>SUMIFS(DatenHernie[Anzahl],DatenHernie[Art der Leistung],$A2,DatenHernie[Kategorie (Labor, Rad, Lunge, EKG)],$B2,DatenHernie[Operationsart],$C2,DatenHernie[KH],"KH 2")</f>
        <v>98</v>
      </c>
      <c r="F2" s="9">
        <f>MAX(D2,E2)-MIN(D2,E2)</f>
        <v>122</v>
      </c>
      <c r="I2" s="14" t="s">
        <v>6</v>
      </c>
      <c r="J2" t="s">
        <v>7</v>
      </c>
      <c r="K2" s="7" t="s">
        <v>8</v>
      </c>
      <c r="L2" s="7">
        <v>220</v>
      </c>
      <c r="M2" s="7">
        <v>98</v>
      </c>
      <c r="N2" s="7">
        <f>AVERAGE(HernieVergleich[[#This Row],[Anzahl KH1]],HernieVergleich[[#This Row],[Anzahl KH2]])</f>
        <v>159</v>
      </c>
      <c r="O2" s="7">
        <f>ABS(HernieVergleich[[#This Row],[Anzahl KH1]]-HernieVergleich[[#This Row],[Anzahl KH2]])</f>
        <v>122</v>
      </c>
      <c r="P2" s="21">
        <f>IF(MAX(HernieVergleich[[#This Row],[Anzahl KH1]],HernieVergleich[[#This Row],[Anzahl KH2]])=0,0,ABS(HernieVergleich[[#This Row],[Anzahl KH1]]-HernieVergleich[[#This Row],[Anzahl KH2]])/AVERAGE(HernieVergleich[[#This Row],[Anzahl KH1]],HernieVergleich[[#This Row],[Anzahl KH2]]))</f>
        <v>0.76729559748427678</v>
      </c>
      <c r="Q2" s="7">
        <f>IF(MIN(HernieVergleich[[#This Row],[Anzahl KH1]],HernieVergleich[[#This Row],[Anzahl KH2]])=0,"∞",MAX(HernieVergleich[[#This Row],[Anzahl KH1]],HernieVergleich[[#This Row],[Anzahl KH2]])/MIN(HernieVergleich[[#This Row],[Anzahl KH1]],HernieVergleich[[#This Row],[Anzahl KH2]]))</f>
        <v>2.2448979591836733</v>
      </c>
      <c r="R2" s="6">
        <f>ABS(HernieVergleich[[#This Row],[Anzahl KH1]]-HernieVergleich[[#This Row],[Anzahl KH2]])*0.4</f>
        <v>48.800000000000004</v>
      </c>
    </row>
    <row r="3" spans="1:18" x14ac:dyDescent="0.3">
      <c r="A3" s="4" t="str">
        <v>Thrombozytenzählung</v>
      </c>
      <c r="B3" t="str" cm="1">
        <f t="array" ref="B3">_xlfn.XLOOKUP(A3,TRIM(DatenHernie[Art der Leistung]),DatenHernie[Kategorie (Labor, Rad, Lunge, EKG)],"")</f>
        <v>Laborleistungen</v>
      </c>
      <c r="C3" s="7" t="str" cm="1">
        <f t="array" ref="C3">_xlfn.XLOOKUP(A3,TRIM(DatenHernie[Art der Leistung]),DatenHernie[Operationsart],"")</f>
        <v>Hernie</v>
      </c>
      <c r="D3" s="7">
        <f>SUMIFS(DatenHernie[Anzahl],DatenHernie[Art der Leistung],$A3,DatenHernie[Kategorie (Labor, Rad, Lunge, EKG)],$B3,DatenHernie[Operationsart],$C3,DatenHernie[KH],"KH 1")</f>
        <v>220</v>
      </c>
      <c r="E3" s="7">
        <f>SUMIFS(DatenHernie[Anzahl],DatenHernie[Art der Leistung],$A3,DatenHernie[Kategorie (Labor, Rad, Lunge, EKG)],$B3,DatenHernie[Operationsart],$C3,DatenHernie[KH],"KH 2")</f>
        <v>98</v>
      </c>
      <c r="F3" s="10">
        <f t="shared" ref="F3:F66" si="0">MAX(D3,E3)-MIN(D3,E3)</f>
        <v>122</v>
      </c>
      <c r="I3" s="14" t="s">
        <v>10</v>
      </c>
      <c r="J3" t="s">
        <v>7</v>
      </c>
      <c r="K3" s="7" t="s">
        <v>8</v>
      </c>
      <c r="L3" s="7">
        <v>220</v>
      </c>
      <c r="M3" s="7">
        <v>98</v>
      </c>
      <c r="N3" s="7">
        <f>AVERAGE(HernieVergleich[[#This Row],[Anzahl KH1]],HernieVergleich[[#This Row],[Anzahl KH2]])</f>
        <v>159</v>
      </c>
      <c r="O3" s="7">
        <f>ABS(HernieVergleich[[#This Row],[Anzahl KH1]]-HernieVergleich[[#This Row],[Anzahl KH2]])</f>
        <v>122</v>
      </c>
      <c r="P3" s="21">
        <f>IF(MAX(HernieVergleich[[#This Row],[Anzahl KH1]],HernieVergleich[[#This Row],[Anzahl KH2]])=0,0,ABS(HernieVergleich[[#This Row],[Anzahl KH1]]-HernieVergleich[[#This Row],[Anzahl KH2]])/MAX(HernieVergleich[[#This Row],[Anzahl KH1]],HernieVergleich[[#This Row],[Anzahl KH2]]))</f>
        <v>0.55454545454545456</v>
      </c>
      <c r="Q3" s="7">
        <f>IF(MIN(HernieVergleich[[#This Row],[Anzahl KH1]],HernieVergleich[[#This Row],[Anzahl KH2]])=0,"∞",MAX(HernieVergleich[[#This Row],[Anzahl KH1]],HernieVergleich[[#This Row],[Anzahl KH2]])/MIN(HernieVergleich[[#This Row],[Anzahl KH1]],HernieVergleich[[#This Row],[Anzahl KH2]]))</f>
        <v>2.2448979591836733</v>
      </c>
      <c r="R3" s="7">
        <f>ABS(HernieVergleich[[#This Row],[Anzahl KH1]]-HernieVergleich[[#This Row],[Anzahl KH2]])*0.4</f>
        <v>48.800000000000004</v>
      </c>
    </row>
    <row r="4" spans="1:18" x14ac:dyDescent="0.3">
      <c r="A4" s="4" t="str">
        <v>Bestimmung des prozentualen Anteils der Leukozyten im Differenzialblutbild</v>
      </c>
      <c r="B4" t="str" cm="1">
        <f t="array" ref="B4">_xlfn.XLOOKUP(A4,TRIM(DatenHernie[Art der Leistung]),DatenHernie[Kategorie (Labor, Rad, Lunge, EKG)],"")</f>
        <v>Laborleistungen</v>
      </c>
      <c r="C4" s="7" t="str" cm="1">
        <f t="array" ref="C4">_xlfn.XLOOKUP(A4,TRIM(DatenHernie[Art der Leistung]),DatenHernie[Operationsart],"")</f>
        <v>Hernie</v>
      </c>
      <c r="D4" s="7">
        <f>SUMIFS(DatenHernie[Anzahl],DatenHernie[Art der Leistung],$A4,DatenHernie[Kategorie (Labor, Rad, Lunge, EKG)],$B4,DatenHernie[Operationsart],$C4,DatenHernie[KH],"KH 1")</f>
        <v>175</v>
      </c>
      <c r="E4" s="7">
        <f>SUMIFS(DatenHernie[Anzahl],DatenHernie[Art der Leistung],$A4,DatenHernie[Kategorie (Labor, Rad, Lunge, EKG)],$B4,DatenHernie[Operationsart],$C4,DatenHernie[KH],"KH 2")</f>
        <v>97</v>
      </c>
      <c r="F4" s="10">
        <f t="shared" si="0"/>
        <v>78</v>
      </c>
      <c r="I4" s="14" t="s">
        <v>12</v>
      </c>
      <c r="J4" t="s">
        <v>7</v>
      </c>
      <c r="K4" s="7" t="s">
        <v>8</v>
      </c>
      <c r="L4" s="7">
        <v>155</v>
      </c>
      <c r="M4" s="7">
        <v>72</v>
      </c>
      <c r="N4" s="7">
        <f>AVERAGE(HernieVergleich[[#This Row],[Anzahl KH1]],HernieVergleich[[#This Row],[Anzahl KH2]])</f>
        <v>113.5</v>
      </c>
      <c r="O4" s="7">
        <f>ABS(HernieVergleich[[#This Row],[Anzahl KH1]]-HernieVergleich[[#This Row],[Anzahl KH2]])</f>
        <v>83</v>
      </c>
      <c r="P4" s="21">
        <f>IF(MAX(HernieVergleich[[#This Row],[Anzahl KH1]],HernieVergleich[[#This Row],[Anzahl KH2]])=0,0,ABS(HernieVergleich[[#This Row],[Anzahl KH1]]-HernieVergleich[[#This Row],[Anzahl KH2]])/MAX(HernieVergleich[[#This Row],[Anzahl KH1]],HernieVergleich[[#This Row],[Anzahl KH2]]))</f>
        <v>0.53548387096774197</v>
      </c>
      <c r="Q4" s="7">
        <f>IF(MIN(HernieVergleich[[#This Row],[Anzahl KH1]],HernieVergleich[[#This Row],[Anzahl KH2]])=0,"∞",MAX(HernieVergleich[[#This Row],[Anzahl KH1]],HernieVergleich[[#This Row],[Anzahl KH2]])/MIN(HernieVergleich[[#This Row],[Anzahl KH1]],HernieVergleich[[#This Row],[Anzahl KH2]]))</f>
        <v>2.1527777777777777</v>
      </c>
      <c r="R4" s="7">
        <f>ABS(HernieVergleich[[#This Row],[Anzahl KH1]]-HernieVergleich[[#This Row],[Anzahl KH2]])*0.4</f>
        <v>33.200000000000003</v>
      </c>
    </row>
    <row r="5" spans="1:18" x14ac:dyDescent="0.3">
      <c r="A5" s="4" t="str">
        <v>Bestimmung von C-reaktivem Protein</v>
      </c>
      <c r="B5" t="str" cm="1">
        <f t="array" ref="B5">_xlfn.XLOOKUP(A5,TRIM(DatenHernie[Art der Leistung]),DatenHernie[Kategorie (Labor, Rad, Lunge, EKG)],"")</f>
        <v>Laborleistungen</v>
      </c>
      <c r="C5" s="7" t="str" cm="1">
        <f t="array" ref="C5">_xlfn.XLOOKUP(A5,TRIM(DatenHernie[Art der Leistung]),DatenHernie[Operationsart],"")</f>
        <v>Hernie</v>
      </c>
      <c r="D5" s="7">
        <f>SUMIFS(DatenHernie[Anzahl],DatenHernie[Art der Leistung],$A5,DatenHernie[Kategorie (Labor, Rad, Lunge, EKG)],$B5,DatenHernie[Operationsart],$C5,DatenHernie[KH],"KH 1")</f>
        <v>155</v>
      </c>
      <c r="E5" s="7">
        <f>SUMIFS(DatenHernie[Anzahl],DatenHernie[Art der Leistung],$A5,DatenHernie[Kategorie (Labor, Rad, Lunge, EKG)],$B5,DatenHernie[Operationsart],$C5,DatenHernie[KH],"KH 2")</f>
        <v>72</v>
      </c>
      <c r="F5" s="10">
        <f t="shared" si="0"/>
        <v>83</v>
      </c>
      <c r="I5" s="14" t="s">
        <v>11</v>
      </c>
      <c r="J5" t="s">
        <v>7</v>
      </c>
      <c r="K5" s="7" t="s">
        <v>8</v>
      </c>
      <c r="L5" s="7">
        <v>175</v>
      </c>
      <c r="M5" s="7">
        <v>97</v>
      </c>
      <c r="N5" s="7">
        <f>AVERAGE(HernieVergleich[[#This Row],[Anzahl KH1]],HernieVergleich[[#This Row],[Anzahl KH2]])</f>
        <v>136</v>
      </c>
      <c r="O5" s="7">
        <f>ABS(HernieVergleich[[#This Row],[Anzahl KH1]]-HernieVergleich[[#This Row],[Anzahl KH2]])</f>
        <v>78</v>
      </c>
      <c r="P5" s="21">
        <f>IF(MAX(HernieVergleich[[#This Row],[Anzahl KH1]],HernieVergleich[[#This Row],[Anzahl KH2]])=0,0,ABS(HernieVergleich[[#This Row],[Anzahl KH1]]-HernieVergleich[[#This Row],[Anzahl KH2]])/MAX(HernieVergleich[[#This Row],[Anzahl KH1]],HernieVergleich[[#This Row],[Anzahl KH2]]))</f>
        <v>0.44571428571428573</v>
      </c>
      <c r="Q5" s="7">
        <f>IF(MIN(HernieVergleich[[#This Row],[Anzahl KH1]],HernieVergleich[[#This Row],[Anzahl KH2]])=0,"∞",MAX(HernieVergleich[[#This Row],[Anzahl KH1]],HernieVergleich[[#This Row],[Anzahl KH2]])/MIN(HernieVergleich[[#This Row],[Anzahl KH1]],HernieVergleich[[#This Row],[Anzahl KH2]]))</f>
        <v>1.8041237113402062</v>
      </c>
      <c r="R5" s="7">
        <f>ABS(HernieVergleich[[#This Row],[Anzahl KH1]]-HernieVergleich[[#This Row],[Anzahl KH2]])*0.4</f>
        <v>31.200000000000003</v>
      </c>
    </row>
    <row r="6" spans="1:18" x14ac:dyDescent="0.3">
      <c r="A6" s="4" t="str">
        <v>Prothrombinzeit</v>
      </c>
      <c r="B6" t="str" cm="1">
        <f t="array" ref="B6">_xlfn.XLOOKUP(A6,TRIM(DatenHernie[Art der Leistung]),DatenHernie[Kategorie (Labor, Rad, Lunge, EKG)],"")</f>
        <v>Laborleistungen</v>
      </c>
      <c r="C6" s="7" t="str" cm="1">
        <f t="array" ref="C6">_xlfn.XLOOKUP(A6,TRIM(DatenHernie[Art der Leistung]),DatenHernie[Operationsart],"")</f>
        <v>Hernie</v>
      </c>
      <c r="D6" s="7">
        <f>SUMIFS(DatenHernie[Anzahl],DatenHernie[Art der Leistung],$A6,DatenHernie[Kategorie (Labor, Rad, Lunge, EKG)],$B6,DatenHernie[Operationsart],$C6,DatenHernie[KH],"KH 1")</f>
        <v>144</v>
      </c>
      <c r="E6" s="7">
        <f>SUMIFS(DatenHernie[Anzahl],DatenHernie[Art der Leistung],$A6,DatenHernie[Kategorie (Labor, Rad, Lunge, EKG)],$B6,DatenHernie[Operationsart],$C6,DatenHernie[KH],"KH 2")</f>
        <v>95</v>
      </c>
      <c r="F6" s="10">
        <f t="shared" si="0"/>
        <v>49</v>
      </c>
      <c r="I6" s="14" t="s">
        <v>50</v>
      </c>
      <c r="J6" t="s">
        <v>7</v>
      </c>
      <c r="K6" s="7" t="s">
        <v>8</v>
      </c>
      <c r="L6" s="7">
        <v>0</v>
      </c>
      <c r="M6" s="7">
        <v>70</v>
      </c>
      <c r="N6" s="7">
        <f>AVERAGE(HernieVergleich[[#This Row],[Anzahl KH1]],HernieVergleich[[#This Row],[Anzahl KH2]])</f>
        <v>35</v>
      </c>
      <c r="O6" s="7">
        <f>ABS(HernieVergleich[[#This Row],[Anzahl KH1]]-HernieVergleich[[#This Row],[Anzahl KH2]])</f>
        <v>70</v>
      </c>
      <c r="P6" s="21">
        <f>IF(MAX(HernieVergleich[[#This Row],[Anzahl KH1]],HernieVergleich[[#This Row],[Anzahl KH2]])=0,0,ABS(HernieVergleich[[#This Row],[Anzahl KH1]]-HernieVergleich[[#This Row],[Anzahl KH2]])/MAX(HernieVergleich[[#This Row],[Anzahl KH1]],HernieVergleich[[#This Row],[Anzahl KH2]]))</f>
        <v>1</v>
      </c>
      <c r="Q6" s="7" t="str">
        <f>IF(MIN(HernieVergleich[[#This Row],[Anzahl KH1]],HernieVergleich[[#This Row],[Anzahl KH2]])=0,"∞",MAX(HernieVergleich[[#This Row],[Anzahl KH1]],HernieVergleich[[#This Row],[Anzahl KH2]])/MIN(HernieVergleich[[#This Row],[Anzahl KH1]],HernieVergleich[[#This Row],[Anzahl KH2]]))</f>
        <v>∞</v>
      </c>
      <c r="R6" s="7">
        <f>ABS(HernieVergleich[[#This Row],[Anzahl KH1]]-HernieVergleich[[#This Row],[Anzahl KH2]])*0.4</f>
        <v>28</v>
      </c>
    </row>
    <row r="7" spans="1:18" x14ac:dyDescent="0.3">
      <c r="A7" s="4" t="str">
        <v>Kreatininbestimmung</v>
      </c>
      <c r="B7" t="str" cm="1">
        <f t="array" ref="B7">_xlfn.XLOOKUP(A7,TRIM(DatenHernie[Art der Leistung]),DatenHernie[Kategorie (Labor, Rad, Lunge, EKG)],"")</f>
        <v>Laborleistungen</v>
      </c>
      <c r="C7" s="7" t="str" cm="1">
        <f t="array" ref="C7">_xlfn.XLOOKUP(A7,TRIM(DatenHernie[Art der Leistung]),DatenHernie[Operationsart],"")</f>
        <v>Hernie</v>
      </c>
      <c r="D7" s="7">
        <f>SUMIFS(DatenHernie[Anzahl],DatenHernie[Art der Leistung],$A7,DatenHernie[Kategorie (Labor, Rad, Lunge, EKG)],$B7,DatenHernie[Operationsart],$C7,DatenHernie[KH],"KH 1")</f>
        <v>114</v>
      </c>
      <c r="E7" s="7">
        <f>SUMIFS(DatenHernie[Anzahl],DatenHernie[Art der Leistung],$A7,DatenHernie[Kategorie (Labor, Rad, Lunge, EKG)],$B7,DatenHernie[Operationsart],$C7,DatenHernie[KH],"KH 2")</f>
        <v>72</v>
      </c>
      <c r="F7" s="10">
        <f t="shared" si="0"/>
        <v>42</v>
      </c>
      <c r="I7" s="14" t="s">
        <v>36</v>
      </c>
      <c r="J7" t="s">
        <v>7</v>
      </c>
      <c r="K7" s="7" t="s">
        <v>8</v>
      </c>
      <c r="L7" s="7">
        <v>29</v>
      </c>
      <c r="M7" s="7">
        <v>95</v>
      </c>
      <c r="N7" s="7">
        <f>AVERAGE(HernieVergleich[[#This Row],[Anzahl KH1]],HernieVergleich[[#This Row],[Anzahl KH2]])</f>
        <v>62</v>
      </c>
      <c r="O7" s="7">
        <f>ABS(HernieVergleich[[#This Row],[Anzahl KH1]]-HernieVergleich[[#This Row],[Anzahl KH2]])</f>
        <v>66</v>
      </c>
      <c r="P7" s="21">
        <f>IF(MAX(HernieVergleich[[#This Row],[Anzahl KH1]],HernieVergleich[[#This Row],[Anzahl KH2]])=0,0,ABS(HernieVergleich[[#This Row],[Anzahl KH1]]-HernieVergleich[[#This Row],[Anzahl KH2]])/MAX(HernieVergleich[[#This Row],[Anzahl KH1]],HernieVergleich[[#This Row],[Anzahl KH2]]))</f>
        <v>0.69473684210526321</v>
      </c>
      <c r="Q7" s="7">
        <f>IF(MIN(HernieVergleich[[#This Row],[Anzahl KH1]],HernieVergleich[[#This Row],[Anzahl KH2]])=0,"∞",MAX(HernieVergleich[[#This Row],[Anzahl KH1]],HernieVergleich[[#This Row],[Anzahl KH2]])/MIN(HernieVergleich[[#This Row],[Anzahl KH1]],HernieVergleich[[#This Row],[Anzahl KH2]]))</f>
        <v>3.2758620689655173</v>
      </c>
      <c r="R7" s="7">
        <f>ABS(HernieVergleich[[#This Row],[Anzahl KH1]]-HernieVergleich[[#This Row],[Anzahl KH2]])*0.4</f>
        <v>26.400000000000002</v>
      </c>
    </row>
    <row r="8" spans="1:18" x14ac:dyDescent="0.3">
      <c r="A8" s="4" t="str">
        <v>gfr/mdrd</v>
      </c>
      <c r="B8" t="str" cm="1">
        <f t="array" ref="B8">_xlfn.XLOOKUP(A8,TRIM(DatenHernie[Art der Leistung]),DatenHernie[Kategorie (Labor, Rad, Lunge, EKG)],"")</f>
        <v>Laborleistungen</v>
      </c>
      <c r="C8" s="7" t="str" cm="1">
        <f t="array" ref="C8">_xlfn.XLOOKUP(A8,TRIM(DatenHernie[Art der Leistung]),DatenHernie[Operationsart],"")</f>
        <v>Hernie</v>
      </c>
      <c r="D8" s="7">
        <f>SUMIFS(DatenHernie[Anzahl],DatenHernie[Art der Leistung],$A8,DatenHernie[Kategorie (Labor, Rad, Lunge, EKG)],$B8,DatenHernie[Operationsart],$C8,DatenHernie[KH],"KH 1")</f>
        <v>114</v>
      </c>
      <c r="E8" s="7">
        <f>SUMIFS(DatenHernie[Anzahl],DatenHernie[Art der Leistung],$A8,DatenHernie[Kategorie (Labor, Rad, Lunge, EKG)],$B8,DatenHernie[Operationsart],$C8,DatenHernie[KH],"KH 2")</f>
        <v>72</v>
      </c>
      <c r="F8" s="10">
        <f t="shared" si="0"/>
        <v>42</v>
      </c>
      <c r="I8" s="14" t="s">
        <v>28</v>
      </c>
      <c r="J8" t="s">
        <v>7</v>
      </c>
      <c r="K8" s="7" t="s">
        <v>8</v>
      </c>
      <c r="L8" s="7">
        <v>65</v>
      </c>
      <c r="M8" s="7">
        <v>3</v>
      </c>
      <c r="N8" s="7">
        <f>AVERAGE(HernieVergleich[[#This Row],[Anzahl KH1]],HernieVergleich[[#This Row],[Anzahl KH2]])</f>
        <v>34</v>
      </c>
      <c r="O8" s="7">
        <f>ABS(HernieVergleich[[#This Row],[Anzahl KH1]]-HernieVergleich[[#This Row],[Anzahl KH2]])</f>
        <v>62</v>
      </c>
      <c r="P8" s="21">
        <f>IF(MAX(HernieVergleich[[#This Row],[Anzahl KH1]],HernieVergleich[[#This Row],[Anzahl KH2]])=0,0,ABS(HernieVergleich[[#This Row],[Anzahl KH1]]-HernieVergleich[[#This Row],[Anzahl KH2]])/MAX(HernieVergleich[[#This Row],[Anzahl KH1]],HernieVergleich[[#This Row],[Anzahl KH2]]))</f>
        <v>0.9538461538461539</v>
      </c>
      <c r="Q8" s="7">
        <f>IF(MIN(HernieVergleich[[#This Row],[Anzahl KH1]],HernieVergleich[[#This Row],[Anzahl KH2]])=0,"∞",MAX(HernieVergleich[[#This Row],[Anzahl KH1]],HernieVergleich[[#This Row],[Anzahl KH2]])/MIN(HernieVergleich[[#This Row],[Anzahl KH1]],HernieVergleich[[#This Row],[Anzahl KH2]]))</f>
        <v>21.666666666666668</v>
      </c>
      <c r="R8" s="7">
        <f>ABS(HernieVergleich[[#This Row],[Anzahl KH1]]-HernieVergleich[[#This Row],[Anzahl KH2]])*0.4</f>
        <v>24.8</v>
      </c>
    </row>
    <row r="9" spans="1:18" x14ac:dyDescent="0.3">
      <c r="A9" s="4" t="str">
        <v>Chloridbestimmung</v>
      </c>
      <c r="B9" t="str" cm="1">
        <f t="array" ref="B9">_xlfn.XLOOKUP(A9,TRIM(DatenHernie[Art der Leistung]),DatenHernie[Kategorie (Labor, Rad, Lunge, EKG)],"")</f>
        <v>Laborleistungen</v>
      </c>
      <c r="C9" s="7" t="str" cm="1">
        <f t="array" ref="C9">_xlfn.XLOOKUP(A9,TRIM(DatenHernie[Art der Leistung]),DatenHernie[Operationsart],"")</f>
        <v>Hernie</v>
      </c>
      <c r="D9" s="7">
        <f>SUMIFS(DatenHernie[Anzahl],DatenHernie[Art der Leistung],$A9,DatenHernie[Kategorie (Labor, Rad, Lunge, EKG)],$B9,DatenHernie[Operationsart],$C9,DatenHernie[KH],"KH 1")</f>
        <v>111</v>
      </c>
      <c r="E9" s="7">
        <f>SUMIFS(DatenHernie[Anzahl],DatenHernie[Art der Leistung],$A9,DatenHernie[Kategorie (Labor, Rad, Lunge, EKG)],$B9,DatenHernie[Operationsart],$C9,DatenHernie[KH],"KH 2")</f>
        <v>73</v>
      </c>
      <c r="F9" s="10">
        <f t="shared" si="0"/>
        <v>38</v>
      </c>
      <c r="I9" s="14" t="s">
        <v>30</v>
      </c>
      <c r="J9" t="s">
        <v>7</v>
      </c>
      <c r="K9" s="7" t="s">
        <v>8</v>
      </c>
      <c r="L9" s="7">
        <v>57</v>
      </c>
      <c r="M9" s="7">
        <v>0</v>
      </c>
      <c r="N9" s="7">
        <f>AVERAGE(HernieVergleich[[#This Row],[Anzahl KH1]],HernieVergleich[[#This Row],[Anzahl KH2]])</f>
        <v>28.5</v>
      </c>
      <c r="O9" s="7">
        <f>ABS(HernieVergleich[[#This Row],[Anzahl KH1]]-HernieVergleich[[#This Row],[Anzahl KH2]])</f>
        <v>57</v>
      </c>
      <c r="P9" s="21">
        <f>IF(MAX(HernieVergleich[[#This Row],[Anzahl KH1]],HernieVergleich[[#This Row],[Anzahl KH2]])=0,0,ABS(HernieVergleich[[#This Row],[Anzahl KH1]]-HernieVergleich[[#This Row],[Anzahl KH2]])/MAX(HernieVergleich[[#This Row],[Anzahl KH1]],HernieVergleich[[#This Row],[Anzahl KH2]]))</f>
        <v>1</v>
      </c>
      <c r="Q9" s="7" t="str">
        <f>IF(MIN(HernieVergleich[[#This Row],[Anzahl KH1]],HernieVergleich[[#This Row],[Anzahl KH2]])=0,"∞",MAX(HernieVergleich[[#This Row],[Anzahl KH1]],HernieVergleich[[#This Row],[Anzahl KH2]])/MIN(HernieVergleich[[#This Row],[Anzahl KH1]],HernieVergleich[[#This Row],[Anzahl KH2]]))</f>
        <v>∞</v>
      </c>
      <c r="R9" s="7">
        <f>ABS(HernieVergleich[[#This Row],[Anzahl KH1]]-HernieVergleich[[#This Row],[Anzahl KH2]])*0.4</f>
        <v>22.8</v>
      </c>
    </row>
    <row r="10" spans="1:18" x14ac:dyDescent="0.3">
      <c r="A10" s="4" t="str">
        <v>Kalziumbestimmung albuminkorrigiert</v>
      </c>
      <c r="B10" t="str" cm="1">
        <f t="array" ref="B10">_xlfn.XLOOKUP(A10,TRIM(DatenHernie[Art der Leistung]),DatenHernie[Kategorie (Labor, Rad, Lunge, EKG)],"")</f>
        <v>Laborleistungen</v>
      </c>
      <c r="C10" s="7" t="str" cm="1">
        <f t="array" ref="C10">_xlfn.XLOOKUP(A10,TRIM(DatenHernie[Art der Leistung]),DatenHernie[Operationsart],"")</f>
        <v>Hernie</v>
      </c>
      <c r="D10" s="7">
        <f>SUMIFS(DatenHernie[Anzahl],DatenHernie[Art der Leistung],$A10,DatenHernie[Kategorie (Labor, Rad, Lunge, EKG)],$B10,DatenHernie[Operationsart],$C10,DatenHernie[KH],"KH 1")</f>
        <v>111</v>
      </c>
      <c r="E10" s="7">
        <f>SUMIFS(DatenHernie[Anzahl],DatenHernie[Art der Leistung],$A10,DatenHernie[Kategorie (Labor, Rad, Lunge, EKG)],$B10,DatenHernie[Operationsart],$C10,DatenHernie[KH],"KH 2")</f>
        <v>73</v>
      </c>
      <c r="F10" s="10">
        <f t="shared" si="0"/>
        <v>38</v>
      </c>
      <c r="I10" s="14" t="s">
        <v>31</v>
      </c>
      <c r="J10" t="s">
        <v>7</v>
      </c>
      <c r="K10" s="7" t="s">
        <v>8</v>
      </c>
      <c r="L10" s="7">
        <v>57</v>
      </c>
      <c r="M10" s="7">
        <v>0</v>
      </c>
      <c r="N10" s="7">
        <f>AVERAGE(HernieVergleich[[#This Row],[Anzahl KH1]],HernieVergleich[[#This Row],[Anzahl KH2]])</f>
        <v>28.5</v>
      </c>
      <c r="O10" s="7">
        <f>ABS(HernieVergleich[[#This Row],[Anzahl KH1]]-HernieVergleich[[#This Row],[Anzahl KH2]])</f>
        <v>57</v>
      </c>
      <c r="P10" s="21">
        <f>IF(MAX(HernieVergleich[[#This Row],[Anzahl KH1]],HernieVergleich[[#This Row],[Anzahl KH2]])=0,0,ABS(HernieVergleich[[#This Row],[Anzahl KH1]]-HernieVergleich[[#This Row],[Anzahl KH2]])/MAX(HernieVergleich[[#This Row],[Anzahl KH1]],HernieVergleich[[#This Row],[Anzahl KH2]]))</f>
        <v>1</v>
      </c>
      <c r="Q10" s="7" t="str">
        <f>IF(MIN(HernieVergleich[[#This Row],[Anzahl KH1]],HernieVergleich[[#This Row],[Anzahl KH2]])=0,"∞",MAX(HernieVergleich[[#This Row],[Anzahl KH1]],HernieVergleich[[#This Row],[Anzahl KH2]])/MIN(HernieVergleich[[#This Row],[Anzahl KH1]],HernieVergleich[[#This Row],[Anzahl KH2]]))</f>
        <v>∞</v>
      </c>
      <c r="R10" s="7">
        <f>ABS(HernieVergleich[[#This Row],[Anzahl KH1]]-HernieVergleich[[#This Row],[Anzahl KH2]])*0.4</f>
        <v>22.8</v>
      </c>
    </row>
    <row r="11" spans="1:18" x14ac:dyDescent="0.3">
      <c r="A11" s="4" t="str">
        <v>Natriumbestimmung im Plasma</v>
      </c>
      <c r="B11" t="str" cm="1">
        <f t="array" ref="B11">_xlfn.XLOOKUP(A11,TRIM(DatenHernie[Art der Leistung]),DatenHernie[Kategorie (Labor, Rad, Lunge, EKG)],"")</f>
        <v>Laborleistungen</v>
      </c>
      <c r="C11" s="7" t="str" cm="1">
        <f t="array" ref="C11">_xlfn.XLOOKUP(A11,TRIM(DatenHernie[Art der Leistung]),DatenHernie[Operationsart],"")</f>
        <v>Hernie</v>
      </c>
      <c r="D11" s="7">
        <f>SUMIFS(DatenHernie[Anzahl],DatenHernie[Art der Leistung],$A11,DatenHernie[Kategorie (Labor, Rad, Lunge, EKG)],$B11,DatenHernie[Operationsart],$C11,DatenHernie[KH],"KH 1")</f>
        <v>111</v>
      </c>
      <c r="E11" s="7">
        <f>SUMIFS(DatenHernie[Anzahl],DatenHernie[Art der Leistung],$A11,DatenHernie[Kategorie (Labor, Rad, Lunge, EKG)],$B11,DatenHernie[Operationsart],$C11,DatenHernie[KH],"KH 2")</f>
        <v>73</v>
      </c>
      <c r="F11" s="10">
        <f t="shared" si="0"/>
        <v>38</v>
      </c>
      <c r="I11" s="14" t="s">
        <v>32</v>
      </c>
      <c r="J11" t="s">
        <v>7</v>
      </c>
      <c r="K11" s="7" t="s">
        <v>8</v>
      </c>
      <c r="L11" s="7">
        <v>57</v>
      </c>
      <c r="M11" s="7">
        <v>0</v>
      </c>
      <c r="N11" s="7">
        <f>AVERAGE(HernieVergleich[[#This Row],[Anzahl KH1]],HernieVergleich[[#This Row],[Anzahl KH2]])</f>
        <v>28.5</v>
      </c>
      <c r="O11" s="7">
        <f>ABS(HernieVergleich[[#This Row],[Anzahl KH1]]-HernieVergleich[[#This Row],[Anzahl KH2]])</f>
        <v>57</v>
      </c>
      <c r="P11" s="21">
        <f>IF(MAX(HernieVergleich[[#This Row],[Anzahl KH1]],HernieVergleich[[#This Row],[Anzahl KH2]])=0,0,ABS(HernieVergleich[[#This Row],[Anzahl KH1]]-HernieVergleich[[#This Row],[Anzahl KH2]])/MAX(HernieVergleich[[#This Row],[Anzahl KH1]],HernieVergleich[[#This Row],[Anzahl KH2]]))</f>
        <v>1</v>
      </c>
      <c r="Q11" s="7" t="str">
        <f>IF(MIN(HernieVergleich[[#This Row],[Anzahl KH1]],HernieVergleich[[#This Row],[Anzahl KH2]])=0,"∞",MAX(HernieVergleich[[#This Row],[Anzahl KH1]],HernieVergleich[[#This Row],[Anzahl KH2]])/MIN(HernieVergleich[[#This Row],[Anzahl KH1]],HernieVergleich[[#This Row],[Anzahl KH2]]))</f>
        <v>∞</v>
      </c>
      <c r="R11" s="7">
        <f>ABS(HernieVergleich[[#This Row],[Anzahl KH1]]-HernieVergleich[[#This Row],[Anzahl KH2]])*0.4</f>
        <v>22.8</v>
      </c>
    </row>
    <row r="12" spans="1:18" x14ac:dyDescent="0.3">
      <c r="A12" s="4" t="str">
        <v>Kalium-Spiegel im Plasma</v>
      </c>
      <c r="B12" t="str" cm="1">
        <f t="array" ref="B12">_xlfn.XLOOKUP(A12,TRIM(DatenHernie[Art der Leistung]),DatenHernie[Kategorie (Labor, Rad, Lunge, EKG)],"")</f>
        <v>Laborleistungen</v>
      </c>
      <c r="C12" s="7" t="str" cm="1">
        <f t="array" ref="C12">_xlfn.XLOOKUP(A12,TRIM(DatenHernie[Art der Leistung]),DatenHernie[Operationsart],"")</f>
        <v>Hernie</v>
      </c>
      <c r="D12" s="7">
        <f>SUMIFS(DatenHernie[Anzahl],DatenHernie[Art der Leistung],$A12,DatenHernie[Kategorie (Labor, Rad, Lunge, EKG)],$B12,DatenHernie[Operationsart],$C12,DatenHernie[KH],"KH 1")</f>
        <v>102</v>
      </c>
      <c r="E12" s="7">
        <f>SUMIFS(DatenHernie[Anzahl],DatenHernie[Art der Leistung],$A12,DatenHernie[Kategorie (Labor, Rad, Lunge, EKG)],$B12,DatenHernie[Operationsart],$C12,DatenHernie[KH],"KH 2")</f>
        <v>74</v>
      </c>
      <c r="F12" s="10">
        <f t="shared" si="0"/>
        <v>28</v>
      </c>
      <c r="I12" s="14" t="s">
        <v>33</v>
      </c>
      <c r="J12" t="s">
        <v>7</v>
      </c>
      <c r="K12" s="7" t="s">
        <v>8</v>
      </c>
      <c r="L12" s="7">
        <v>57</v>
      </c>
      <c r="M12" s="7">
        <v>0</v>
      </c>
      <c r="N12" s="7">
        <f>AVERAGE(HernieVergleich[[#This Row],[Anzahl KH1]],HernieVergleich[[#This Row],[Anzahl KH2]])</f>
        <v>28.5</v>
      </c>
      <c r="O12" s="7">
        <f>ABS(HernieVergleich[[#This Row],[Anzahl KH1]]-HernieVergleich[[#This Row],[Anzahl KH2]])</f>
        <v>57</v>
      </c>
      <c r="P12" s="21">
        <f>IF(MAX(HernieVergleich[[#This Row],[Anzahl KH1]],HernieVergleich[[#This Row],[Anzahl KH2]])=0,0,ABS(HernieVergleich[[#This Row],[Anzahl KH1]]-HernieVergleich[[#This Row],[Anzahl KH2]])/MAX(HernieVergleich[[#This Row],[Anzahl KH1]],HernieVergleich[[#This Row],[Anzahl KH2]]))</f>
        <v>1</v>
      </c>
      <c r="Q12" s="7" t="str">
        <f>IF(MIN(HernieVergleich[[#This Row],[Anzahl KH1]],HernieVergleich[[#This Row],[Anzahl KH2]])=0,"∞",MAX(HernieVergleich[[#This Row],[Anzahl KH1]],HernieVergleich[[#This Row],[Anzahl KH2]])/MIN(HernieVergleich[[#This Row],[Anzahl KH1]],HernieVergleich[[#This Row],[Anzahl KH2]]))</f>
        <v>∞</v>
      </c>
      <c r="R12" s="7">
        <f>ABS(HernieVergleich[[#This Row],[Anzahl KH1]]-HernieVergleich[[#This Row],[Anzahl KH2]])*0.4</f>
        <v>22.8</v>
      </c>
    </row>
    <row r="13" spans="1:18" x14ac:dyDescent="0.3">
      <c r="A13" s="4" t="str">
        <v>Alaninaminotransferase-Spiegel im Plasma</v>
      </c>
      <c r="B13" t="str" cm="1">
        <f t="array" ref="B13">_xlfn.XLOOKUP(A13,TRIM(DatenHernie[Art der Leistung]),DatenHernie[Kategorie (Labor, Rad, Lunge, EKG)],"")</f>
        <v>Laborleistungen</v>
      </c>
      <c r="C13" s="7" t="str" cm="1">
        <f t="array" ref="C13">_xlfn.XLOOKUP(A13,TRIM(DatenHernie[Art der Leistung]),DatenHernie[Operationsart],"")</f>
        <v>Hernie</v>
      </c>
      <c r="D13" s="7">
        <f>SUMIFS(DatenHernie[Anzahl],DatenHernie[Art der Leistung],$A13,DatenHernie[Kategorie (Labor, Rad, Lunge, EKG)],$B13,DatenHernie[Operationsart],$C13,DatenHernie[KH],"KH 1")</f>
        <v>97</v>
      </c>
      <c r="E13" s="7">
        <f>SUMIFS(DatenHernie[Anzahl],DatenHernie[Art der Leistung],$A13,DatenHernie[Kategorie (Labor, Rad, Lunge, EKG)],$B13,DatenHernie[Operationsart],$C13,DatenHernie[KH],"KH 2")</f>
        <v>70</v>
      </c>
      <c r="F13" s="10">
        <f t="shared" si="0"/>
        <v>27</v>
      </c>
      <c r="I13" s="14" t="s">
        <v>41</v>
      </c>
      <c r="J13" t="s">
        <v>7</v>
      </c>
      <c r="K13" s="7" t="s">
        <v>8</v>
      </c>
      <c r="L13" s="7">
        <v>10</v>
      </c>
      <c r="M13" s="7">
        <v>67</v>
      </c>
      <c r="N13" s="7">
        <f>AVERAGE(HernieVergleich[[#This Row],[Anzahl KH1]],HernieVergleich[[#This Row],[Anzahl KH2]])</f>
        <v>38.5</v>
      </c>
      <c r="O13" s="7">
        <f>ABS(HernieVergleich[[#This Row],[Anzahl KH1]]-HernieVergleich[[#This Row],[Anzahl KH2]])</f>
        <v>57</v>
      </c>
      <c r="P13" s="21">
        <f>IF(MAX(HernieVergleich[[#This Row],[Anzahl KH1]],HernieVergleich[[#This Row],[Anzahl KH2]])=0,0,ABS(HernieVergleich[[#This Row],[Anzahl KH1]]-HernieVergleich[[#This Row],[Anzahl KH2]])/MAX(HernieVergleich[[#This Row],[Anzahl KH1]],HernieVergleich[[#This Row],[Anzahl KH2]]))</f>
        <v>0.85074626865671643</v>
      </c>
      <c r="Q13" s="7">
        <f>IF(MIN(HernieVergleich[[#This Row],[Anzahl KH1]],HernieVergleich[[#This Row],[Anzahl KH2]])=0,"∞",MAX(HernieVergleich[[#This Row],[Anzahl KH1]],HernieVergleich[[#This Row],[Anzahl KH2]])/MIN(HernieVergleich[[#This Row],[Anzahl KH1]],HernieVergleich[[#This Row],[Anzahl KH2]]))</f>
        <v>6.7</v>
      </c>
      <c r="R13" s="7">
        <f>ABS(HernieVergleich[[#This Row],[Anzahl KH1]]-HernieVergleich[[#This Row],[Anzahl KH2]])*0.4</f>
        <v>22.8</v>
      </c>
    </row>
    <row r="14" spans="1:18" x14ac:dyDescent="0.3">
      <c r="A14" s="4" t="str">
        <v>Bestimmung des Gesamtbilirubins im Plasma</v>
      </c>
      <c r="B14" t="str" cm="1">
        <f t="array" ref="B14">_xlfn.XLOOKUP(A14,TRIM(DatenHernie[Art der Leistung]),DatenHernie[Kategorie (Labor, Rad, Lunge, EKG)],"")</f>
        <v>Laborleistungen</v>
      </c>
      <c r="C14" s="7" t="str" cm="1">
        <f t="array" ref="C14">_xlfn.XLOOKUP(A14,TRIM(DatenHernie[Art der Leistung]),DatenHernie[Operationsart],"")</f>
        <v>Hernie</v>
      </c>
      <c r="D14" s="7">
        <f>SUMIFS(DatenHernie[Anzahl],DatenHernie[Art der Leistung],$A14,DatenHernie[Kategorie (Labor, Rad, Lunge, EKG)],$B14,DatenHernie[Operationsart],$C14,DatenHernie[KH],"KH 1")</f>
        <v>97</v>
      </c>
      <c r="E14" s="7">
        <f>SUMIFS(DatenHernie[Anzahl],DatenHernie[Art der Leistung],$A14,DatenHernie[Kategorie (Labor, Rad, Lunge, EKG)],$B14,DatenHernie[Operationsart],$C14,DatenHernie[KH],"KH 2")</f>
        <v>70</v>
      </c>
      <c r="F14" s="10">
        <f t="shared" si="0"/>
        <v>27</v>
      </c>
      <c r="I14" s="14" t="s">
        <v>27</v>
      </c>
      <c r="J14" t="s">
        <v>7</v>
      </c>
      <c r="K14" s="7" t="s">
        <v>8</v>
      </c>
      <c r="L14" s="7">
        <v>66</v>
      </c>
      <c r="M14" s="7">
        <v>13</v>
      </c>
      <c r="N14" s="7">
        <f>AVERAGE(HernieVergleich[[#This Row],[Anzahl KH1]],HernieVergleich[[#This Row],[Anzahl KH2]])</f>
        <v>39.5</v>
      </c>
      <c r="O14" s="7">
        <f>ABS(HernieVergleich[[#This Row],[Anzahl KH1]]-HernieVergleich[[#This Row],[Anzahl KH2]])</f>
        <v>53</v>
      </c>
      <c r="P14" s="21">
        <f>IF(MAX(HernieVergleich[[#This Row],[Anzahl KH1]],HernieVergleich[[#This Row],[Anzahl KH2]])=0,0,ABS(HernieVergleich[[#This Row],[Anzahl KH1]]-HernieVergleich[[#This Row],[Anzahl KH2]])/MAX(HernieVergleich[[#This Row],[Anzahl KH1]],HernieVergleich[[#This Row],[Anzahl KH2]]))</f>
        <v>0.80303030303030298</v>
      </c>
      <c r="Q14" s="7">
        <f>IF(MIN(HernieVergleich[[#This Row],[Anzahl KH1]],HernieVergleich[[#This Row],[Anzahl KH2]])=0,"∞",MAX(HernieVergleich[[#This Row],[Anzahl KH1]],HernieVergleich[[#This Row],[Anzahl KH2]])/MIN(HernieVergleich[[#This Row],[Anzahl KH1]],HernieVergleich[[#This Row],[Anzahl KH2]]))</f>
        <v>5.0769230769230766</v>
      </c>
      <c r="R14" s="7">
        <f>ABS(HernieVergleich[[#This Row],[Anzahl KH1]]-HernieVergleich[[#This Row],[Anzahl KH2]])*0.4</f>
        <v>21.200000000000003</v>
      </c>
    </row>
    <row r="15" spans="1:18" x14ac:dyDescent="0.3">
      <c r="A15" s="4" t="str">
        <v>alkalische-Phosphatase-Spiegel im Plasma</v>
      </c>
      <c r="B15" t="str" cm="1">
        <f t="array" ref="B15">_xlfn.XLOOKUP(A15,TRIM(DatenHernie[Art der Leistung]),DatenHernie[Kategorie (Labor, Rad, Lunge, EKG)],"")</f>
        <v>Laborleistungen</v>
      </c>
      <c r="C15" s="7" t="str" cm="1">
        <f t="array" ref="C15">_xlfn.XLOOKUP(A15,TRIM(DatenHernie[Art der Leistung]),DatenHernie[Operationsart],"")</f>
        <v>Hernie</v>
      </c>
      <c r="D15" s="7">
        <f>SUMIFS(DatenHernie[Anzahl],DatenHernie[Art der Leistung],$A15,DatenHernie[Kategorie (Labor, Rad, Lunge, EKG)],$B15,DatenHernie[Operationsart],$C15,DatenHernie[KH],"KH 1")</f>
        <v>97</v>
      </c>
      <c r="E15" s="7">
        <f>SUMIFS(DatenHernie[Anzahl],DatenHernie[Art der Leistung],$A15,DatenHernie[Kategorie (Labor, Rad, Lunge, EKG)],$B15,DatenHernie[Operationsart],$C15,DatenHernie[KH],"KH 2")</f>
        <v>70</v>
      </c>
      <c r="F15" s="10">
        <f t="shared" si="0"/>
        <v>27</v>
      </c>
      <c r="I15" s="14" t="s">
        <v>13</v>
      </c>
      <c r="J15" t="s">
        <v>7</v>
      </c>
      <c r="K15" s="7" t="s">
        <v>8</v>
      </c>
      <c r="L15" s="7">
        <v>144</v>
      </c>
      <c r="M15" s="7">
        <v>95</v>
      </c>
      <c r="N15" s="7">
        <f>AVERAGE(HernieVergleich[[#This Row],[Anzahl KH1]],HernieVergleich[[#This Row],[Anzahl KH2]])</f>
        <v>119.5</v>
      </c>
      <c r="O15" s="7">
        <f>ABS(HernieVergleich[[#This Row],[Anzahl KH1]]-HernieVergleich[[#This Row],[Anzahl KH2]])</f>
        <v>49</v>
      </c>
      <c r="P15" s="21">
        <f>IF(MAX(HernieVergleich[[#This Row],[Anzahl KH1]],HernieVergleich[[#This Row],[Anzahl KH2]])=0,0,ABS(HernieVergleich[[#This Row],[Anzahl KH1]]-HernieVergleich[[#This Row],[Anzahl KH2]])/MAX(HernieVergleich[[#This Row],[Anzahl KH1]],HernieVergleich[[#This Row],[Anzahl KH2]]))</f>
        <v>0.34027777777777779</v>
      </c>
      <c r="Q15" s="7">
        <f>IF(MIN(HernieVergleich[[#This Row],[Anzahl KH1]],HernieVergleich[[#This Row],[Anzahl KH2]])=0,"∞",MAX(HernieVergleich[[#This Row],[Anzahl KH1]],HernieVergleich[[#This Row],[Anzahl KH2]])/MIN(HernieVergleich[[#This Row],[Anzahl KH1]],HernieVergleich[[#This Row],[Anzahl KH2]]))</f>
        <v>1.5157894736842106</v>
      </c>
      <c r="R15" s="7">
        <f>ABS(HernieVergleich[[#This Row],[Anzahl KH1]]-HernieVergleich[[#This Row],[Anzahl KH2]])*0.4</f>
        <v>19.600000000000001</v>
      </c>
    </row>
    <row r="16" spans="1:18" x14ac:dyDescent="0.3">
      <c r="A16" s="4" t="str">
        <v>Gammaglutamyltransferasebestimmung im Plasma</v>
      </c>
      <c r="B16" t="str" cm="1">
        <f t="array" ref="B16">_xlfn.XLOOKUP(A16,TRIM(DatenHernie[Art der Leistung]),DatenHernie[Kategorie (Labor, Rad, Lunge, EKG)],"")</f>
        <v>Laborleistungen</v>
      </c>
      <c r="C16" s="7" t="str" cm="1">
        <f t="array" ref="C16">_xlfn.XLOOKUP(A16,TRIM(DatenHernie[Art der Leistung]),DatenHernie[Operationsart],"")</f>
        <v>Hernie</v>
      </c>
      <c r="D16" s="7">
        <f>SUMIFS(DatenHernie[Anzahl],DatenHernie[Art der Leistung],$A16,DatenHernie[Kategorie (Labor, Rad, Lunge, EKG)],$B16,DatenHernie[Operationsart],$C16,DatenHernie[KH],"KH 1")</f>
        <v>97</v>
      </c>
      <c r="E16" s="7">
        <f>SUMIFS(DatenHernie[Anzahl],DatenHernie[Art der Leistung],$A16,DatenHernie[Kategorie (Labor, Rad, Lunge, EKG)],$B16,DatenHernie[Operationsart],$C16,DatenHernie[KH],"KH 2")</f>
        <v>70</v>
      </c>
      <c r="F16" s="10">
        <f t="shared" si="0"/>
        <v>27</v>
      </c>
      <c r="I16" s="14" t="s">
        <v>34</v>
      </c>
      <c r="J16" t="s">
        <v>7</v>
      </c>
      <c r="K16" s="7" t="s">
        <v>8</v>
      </c>
      <c r="L16" s="7">
        <v>50</v>
      </c>
      <c r="M16" s="7">
        <v>98</v>
      </c>
      <c r="N16" s="7">
        <f>AVERAGE(HernieVergleich[[#This Row],[Anzahl KH1]],HernieVergleich[[#This Row],[Anzahl KH2]])</f>
        <v>74</v>
      </c>
      <c r="O16" s="7">
        <f>ABS(HernieVergleich[[#This Row],[Anzahl KH1]]-HernieVergleich[[#This Row],[Anzahl KH2]])</f>
        <v>48</v>
      </c>
      <c r="P16" s="21">
        <f>IF(MAX(HernieVergleich[[#This Row],[Anzahl KH1]],HernieVergleich[[#This Row],[Anzahl KH2]])=0,0,ABS(HernieVergleich[[#This Row],[Anzahl KH1]]-HernieVergleich[[#This Row],[Anzahl KH2]])/MAX(HernieVergleich[[#This Row],[Anzahl KH1]],HernieVergleich[[#This Row],[Anzahl KH2]]))</f>
        <v>0.48979591836734693</v>
      </c>
      <c r="Q16" s="7">
        <f>IF(MIN(HernieVergleich[[#This Row],[Anzahl KH1]],HernieVergleich[[#This Row],[Anzahl KH2]])=0,"∞",MAX(HernieVergleich[[#This Row],[Anzahl KH1]],HernieVergleich[[#This Row],[Anzahl KH2]])/MIN(HernieVergleich[[#This Row],[Anzahl KH1]],HernieVergleich[[#This Row],[Anzahl KH2]]))</f>
        <v>1.96</v>
      </c>
      <c r="R16" s="7">
        <f>ABS(HernieVergleich[[#This Row],[Anzahl KH1]]-HernieVergleich[[#This Row],[Anzahl KH2]])*0.4</f>
        <v>19.200000000000003</v>
      </c>
    </row>
    <row r="17" spans="1:18" x14ac:dyDescent="0.3">
      <c r="A17" s="4" t="str">
        <v>Aspartattransaminasebestimmung im Plasma</v>
      </c>
      <c r="B17" t="str" cm="1">
        <f t="array" ref="B17">_xlfn.XLOOKUP(A17,TRIM(DatenHernie[Art der Leistung]),DatenHernie[Kategorie (Labor, Rad, Lunge, EKG)],"")</f>
        <v>Laborleistungen</v>
      </c>
      <c r="C17" s="7" t="str" cm="1">
        <f t="array" ref="C17">_xlfn.XLOOKUP(A17,TRIM(DatenHernie[Art der Leistung]),DatenHernie[Operationsart],"")</f>
        <v>Hernie</v>
      </c>
      <c r="D17" s="7">
        <f>SUMIFS(DatenHernie[Anzahl],DatenHernie[Art der Leistung],$A17,DatenHernie[Kategorie (Labor, Rad, Lunge, EKG)],$B17,DatenHernie[Operationsart],$C17,DatenHernie[KH],"KH 1")</f>
        <v>94</v>
      </c>
      <c r="E17" s="7">
        <f>SUMIFS(DatenHernie[Anzahl],DatenHernie[Art der Leistung],$A17,DatenHernie[Kategorie (Labor, Rad, Lunge, EKG)],$B17,DatenHernie[Operationsart],$C17,DatenHernie[KH],"KH 2")</f>
        <v>72</v>
      </c>
      <c r="F17" s="10">
        <f t="shared" si="0"/>
        <v>22</v>
      </c>
      <c r="I17" s="14" t="s">
        <v>14</v>
      </c>
      <c r="J17" t="s">
        <v>7</v>
      </c>
      <c r="K17" s="7" t="s">
        <v>8</v>
      </c>
      <c r="L17" s="7">
        <v>114</v>
      </c>
      <c r="M17" s="7">
        <v>72</v>
      </c>
      <c r="N17" s="7">
        <f>AVERAGE(HernieVergleich[[#This Row],[Anzahl KH1]],HernieVergleich[[#This Row],[Anzahl KH2]])</f>
        <v>93</v>
      </c>
      <c r="O17" s="7">
        <f>ABS(HernieVergleich[[#This Row],[Anzahl KH1]]-HernieVergleich[[#This Row],[Anzahl KH2]])</f>
        <v>42</v>
      </c>
      <c r="P17" s="21">
        <f>IF(MAX(HernieVergleich[[#This Row],[Anzahl KH1]],HernieVergleich[[#This Row],[Anzahl KH2]])=0,0,ABS(HernieVergleich[[#This Row],[Anzahl KH1]]-HernieVergleich[[#This Row],[Anzahl KH2]])/MAX(HernieVergleich[[#This Row],[Anzahl KH1]],HernieVergleich[[#This Row],[Anzahl KH2]]))</f>
        <v>0.36842105263157893</v>
      </c>
      <c r="Q17" s="7">
        <f>IF(MIN(HernieVergleich[[#This Row],[Anzahl KH1]],HernieVergleich[[#This Row],[Anzahl KH2]])=0,"∞",MAX(HernieVergleich[[#This Row],[Anzahl KH1]],HernieVergleich[[#This Row],[Anzahl KH2]])/MIN(HernieVergleich[[#This Row],[Anzahl KH1]],HernieVergleich[[#This Row],[Anzahl KH2]]))</f>
        <v>1.5833333333333333</v>
      </c>
      <c r="R17" s="7">
        <f>ABS(HernieVergleich[[#This Row],[Anzahl KH1]]-HernieVergleich[[#This Row],[Anzahl KH2]])*0.4</f>
        <v>16.8</v>
      </c>
    </row>
    <row r="18" spans="1:18" x14ac:dyDescent="0.3">
      <c r="A18" s="4" t="str">
        <v>Laktatdehydrogenasebestimmung</v>
      </c>
      <c r="B18" t="str" cm="1">
        <f t="array" ref="B18">_xlfn.XLOOKUP(A18,TRIM(DatenHernie[Art der Leistung]),DatenHernie[Kategorie (Labor, Rad, Lunge, EKG)],"")</f>
        <v>Laborleistungen</v>
      </c>
      <c r="C18" s="7" t="str" cm="1">
        <f t="array" ref="C18">_xlfn.XLOOKUP(A18,TRIM(DatenHernie[Art der Leistung]),DatenHernie[Operationsart],"")</f>
        <v>Hernie</v>
      </c>
      <c r="D18" s="7">
        <f>SUMIFS(DatenHernie[Anzahl],DatenHernie[Art der Leistung],$A18,DatenHernie[Kategorie (Labor, Rad, Lunge, EKG)],$B18,DatenHernie[Operationsart],$C18,DatenHernie[KH],"KH 1")</f>
        <v>94</v>
      </c>
      <c r="E18" s="7">
        <f>SUMIFS(DatenHernie[Anzahl],DatenHernie[Art der Leistung],$A18,DatenHernie[Kategorie (Labor, Rad, Lunge, EKG)],$B18,DatenHernie[Operationsart],$C18,DatenHernie[KH],"KH 2")</f>
        <v>72</v>
      </c>
      <c r="F18" s="10">
        <f t="shared" si="0"/>
        <v>22</v>
      </c>
      <c r="I18" s="14" t="s">
        <v>15</v>
      </c>
      <c r="J18" t="s">
        <v>7</v>
      </c>
      <c r="K18" s="7" t="s">
        <v>8</v>
      </c>
      <c r="L18" s="7">
        <v>114</v>
      </c>
      <c r="M18" s="7">
        <v>72</v>
      </c>
      <c r="N18" s="7">
        <f>AVERAGE(HernieVergleich[[#This Row],[Anzahl KH1]],HernieVergleich[[#This Row],[Anzahl KH2]])</f>
        <v>93</v>
      </c>
      <c r="O18" s="7">
        <f>ABS(HernieVergleich[[#This Row],[Anzahl KH1]]-HernieVergleich[[#This Row],[Anzahl KH2]])</f>
        <v>42</v>
      </c>
      <c r="P18" s="21">
        <f>IF(MAX(HernieVergleich[[#This Row],[Anzahl KH1]],HernieVergleich[[#This Row],[Anzahl KH2]])=0,0,ABS(HernieVergleich[[#This Row],[Anzahl KH1]]-HernieVergleich[[#This Row],[Anzahl KH2]])/MAX(HernieVergleich[[#This Row],[Anzahl KH1]],HernieVergleich[[#This Row],[Anzahl KH2]]))</f>
        <v>0.36842105263157893</v>
      </c>
      <c r="Q18" s="7">
        <f>IF(MIN(HernieVergleich[[#This Row],[Anzahl KH1]],HernieVergleich[[#This Row],[Anzahl KH2]])=0,"∞",MAX(HernieVergleich[[#This Row],[Anzahl KH1]],HernieVergleich[[#This Row],[Anzahl KH2]])/MIN(HernieVergleich[[#This Row],[Anzahl KH1]],HernieVergleich[[#This Row],[Anzahl KH2]]))</f>
        <v>1.5833333333333333</v>
      </c>
      <c r="R18" s="7">
        <f>ABS(HernieVergleich[[#This Row],[Anzahl KH1]]-HernieVergleich[[#This Row],[Anzahl KH2]])*0.4</f>
        <v>16.8</v>
      </c>
    </row>
    <row r="19" spans="1:18" x14ac:dyDescent="0.3">
      <c r="A19" s="4" t="str">
        <v>partielle Thromboplastinzeit, aktiviert</v>
      </c>
      <c r="B19" t="str" cm="1">
        <f t="array" ref="B19">_xlfn.XLOOKUP(A19,TRIM(DatenHernie[Art der Leistung]),DatenHernie[Kategorie (Labor, Rad, Lunge, EKG)],"")</f>
        <v>Laborleistungen</v>
      </c>
      <c r="C19" s="7" t="str" cm="1">
        <f t="array" ref="C19">_xlfn.XLOOKUP(A19,TRIM(DatenHernie[Art der Leistung]),DatenHernie[Operationsart],"")</f>
        <v>Hernie</v>
      </c>
      <c r="D19" s="7">
        <f>SUMIFS(DatenHernie[Anzahl],DatenHernie[Art der Leistung],$A19,DatenHernie[Kategorie (Labor, Rad, Lunge, EKG)],$B19,DatenHernie[Operationsart],$C19,DatenHernie[KH],"KH 1")</f>
        <v>73</v>
      </c>
      <c r="E19" s="7">
        <f>SUMIFS(DatenHernie[Anzahl],DatenHernie[Art der Leistung],$A19,DatenHernie[Kategorie (Labor, Rad, Lunge, EKG)],$B19,DatenHernie[Operationsart],$C19,DatenHernie[KH],"KH 2")</f>
        <v>93</v>
      </c>
      <c r="F19" s="10">
        <f t="shared" si="0"/>
        <v>20</v>
      </c>
      <c r="I19" s="14" t="s">
        <v>16</v>
      </c>
      <c r="J19" t="s">
        <v>7</v>
      </c>
      <c r="K19" s="7" t="s">
        <v>8</v>
      </c>
      <c r="L19" s="7">
        <v>111</v>
      </c>
      <c r="M19" s="7">
        <v>73</v>
      </c>
      <c r="N19" s="7">
        <f>AVERAGE(HernieVergleich[[#This Row],[Anzahl KH1]],HernieVergleich[[#This Row],[Anzahl KH2]])</f>
        <v>92</v>
      </c>
      <c r="O19" s="7">
        <f>ABS(HernieVergleich[[#This Row],[Anzahl KH1]]-HernieVergleich[[#This Row],[Anzahl KH2]])</f>
        <v>38</v>
      </c>
      <c r="P19" s="21">
        <f>IF(MAX(HernieVergleich[[#This Row],[Anzahl KH1]],HernieVergleich[[#This Row],[Anzahl KH2]])=0,0,ABS(HernieVergleich[[#This Row],[Anzahl KH1]]-HernieVergleich[[#This Row],[Anzahl KH2]])/MAX(HernieVergleich[[#This Row],[Anzahl KH1]],HernieVergleich[[#This Row],[Anzahl KH2]]))</f>
        <v>0.34234234234234234</v>
      </c>
      <c r="Q19" s="7">
        <f>IF(MIN(HernieVergleich[[#This Row],[Anzahl KH1]],HernieVergleich[[#This Row],[Anzahl KH2]])=0,"∞",MAX(HernieVergleich[[#This Row],[Anzahl KH1]],HernieVergleich[[#This Row],[Anzahl KH2]])/MIN(HernieVergleich[[#This Row],[Anzahl KH1]],HernieVergleich[[#This Row],[Anzahl KH2]]))</f>
        <v>1.5205479452054795</v>
      </c>
      <c r="R19" s="7">
        <f>ABS(HernieVergleich[[#This Row],[Anzahl KH1]]-HernieVergleich[[#This Row],[Anzahl KH2]])*0.4</f>
        <v>15.200000000000001</v>
      </c>
    </row>
    <row r="20" spans="1:18" x14ac:dyDescent="0.3">
      <c r="A20" s="4" t="str">
        <v>TSH-Bestimmung im Serum</v>
      </c>
      <c r="B20" t="str" cm="1">
        <f t="array" ref="B20">_xlfn.XLOOKUP(A20,TRIM(DatenHernie[Art der Leistung]),DatenHernie[Kategorie (Labor, Rad, Lunge, EKG)],"")</f>
        <v>Laborleistungen</v>
      </c>
      <c r="C20" s="7" t="str" cm="1">
        <f t="array" ref="C20">_xlfn.XLOOKUP(A20,TRIM(DatenHernie[Art der Leistung]),DatenHernie[Operationsart],"")</f>
        <v>Hernie</v>
      </c>
      <c r="D20" s="7">
        <f>SUMIFS(DatenHernie[Anzahl],DatenHernie[Art der Leistung],$A20,DatenHernie[Kategorie (Labor, Rad, Lunge, EKG)],$B20,DatenHernie[Operationsart],$C20,DatenHernie[KH],"KH 1")</f>
        <v>66</v>
      </c>
      <c r="E20" s="7">
        <f>SUMIFS(DatenHernie[Anzahl],DatenHernie[Art der Leistung],$A20,DatenHernie[Kategorie (Labor, Rad, Lunge, EKG)],$B20,DatenHernie[Operationsart],$C20,DatenHernie[KH],"KH 2")</f>
        <v>13</v>
      </c>
      <c r="F20" s="10">
        <f t="shared" si="0"/>
        <v>53</v>
      </c>
      <c r="I20" s="14" t="s">
        <v>17</v>
      </c>
      <c r="J20" t="s">
        <v>7</v>
      </c>
      <c r="K20" s="7" t="s">
        <v>8</v>
      </c>
      <c r="L20" s="7">
        <v>111</v>
      </c>
      <c r="M20" s="7">
        <v>73</v>
      </c>
      <c r="N20" s="7">
        <f>AVERAGE(HernieVergleich[[#This Row],[Anzahl KH1]],HernieVergleich[[#This Row],[Anzahl KH2]])</f>
        <v>92</v>
      </c>
      <c r="O20" s="7">
        <f>ABS(HernieVergleich[[#This Row],[Anzahl KH1]]-HernieVergleich[[#This Row],[Anzahl KH2]])</f>
        <v>38</v>
      </c>
      <c r="P20" s="21">
        <f>IF(MAX(HernieVergleich[[#This Row],[Anzahl KH1]],HernieVergleich[[#This Row],[Anzahl KH2]])=0,0,ABS(HernieVergleich[[#This Row],[Anzahl KH1]]-HernieVergleich[[#This Row],[Anzahl KH2]])/MAX(HernieVergleich[[#This Row],[Anzahl KH1]],HernieVergleich[[#This Row],[Anzahl KH2]]))</f>
        <v>0.34234234234234234</v>
      </c>
      <c r="Q20" s="7">
        <f>IF(MIN(HernieVergleich[[#This Row],[Anzahl KH1]],HernieVergleich[[#This Row],[Anzahl KH2]])=0,"∞",MAX(HernieVergleich[[#This Row],[Anzahl KH1]],HernieVergleich[[#This Row],[Anzahl KH2]])/MIN(HernieVergleich[[#This Row],[Anzahl KH1]],HernieVergleich[[#This Row],[Anzahl KH2]]))</f>
        <v>1.5205479452054795</v>
      </c>
      <c r="R20" s="7">
        <f>ABS(HernieVergleich[[#This Row],[Anzahl KH1]]-HernieVergleich[[#This Row],[Anzahl KH2]])*0.4</f>
        <v>15.200000000000001</v>
      </c>
    </row>
    <row r="21" spans="1:18" x14ac:dyDescent="0.3">
      <c r="A21" s="4" t="str">
        <v>Gesamtproteinbestimmung im Plasma</v>
      </c>
      <c r="B21" t="str" cm="1">
        <f t="array" ref="B21">_xlfn.XLOOKUP(A21,TRIM(DatenHernie[Art der Leistung]),DatenHernie[Kategorie (Labor, Rad, Lunge, EKG)],"")</f>
        <v>Laborleistungen</v>
      </c>
      <c r="C21" s="7" t="str" cm="1">
        <f t="array" ref="C21">_xlfn.XLOOKUP(A21,TRIM(DatenHernie[Art der Leistung]),DatenHernie[Operationsart],"")</f>
        <v>Hernie</v>
      </c>
      <c r="D21" s="7">
        <f>SUMIFS(DatenHernie[Anzahl],DatenHernie[Art der Leistung],$A21,DatenHernie[Kategorie (Labor, Rad, Lunge, EKG)],$B21,DatenHernie[Operationsart],$C21,DatenHernie[KH],"KH 1")</f>
        <v>65</v>
      </c>
      <c r="E21" s="7">
        <f>SUMIFS(DatenHernie[Anzahl],DatenHernie[Art der Leistung],$A21,DatenHernie[Kategorie (Labor, Rad, Lunge, EKG)],$B21,DatenHernie[Operationsart],$C21,DatenHernie[KH],"KH 2")</f>
        <v>3</v>
      </c>
      <c r="F21" s="10">
        <f t="shared" si="0"/>
        <v>62</v>
      </c>
      <c r="I21" s="14" t="s">
        <v>18</v>
      </c>
      <c r="J21" t="s">
        <v>7</v>
      </c>
      <c r="K21" s="7" t="s">
        <v>8</v>
      </c>
      <c r="L21" s="7">
        <v>111</v>
      </c>
      <c r="M21" s="7">
        <v>73</v>
      </c>
      <c r="N21" s="7">
        <f>AVERAGE(HernieVergleich[[#This Row],[Anzahl KH1]],HernieVergleich[[#This Row],[Anzahl KH2]])</f>
        <v>92</v>
      </c>
      <c r="O21" s="7">
        <f>ABS(HernieVergleich[[#This Row],[Anzahl KH1]]-HernieVergleich[[#This Row],[Anzahl KH2]])</f>
        <v>38</v>
      </c>
      <c r="P21" s="21">
        <f>IF(MAX(HernieVergleich[[#This Row],[Anzahl KH1]],HernieVergleich[[#This Row],[Anzahl KH2]])=0,0,ABS(HernieVergleich[[#This Row],[Anzahl KH1]]-HernieVergleich[[#This Row],[Anzahl KH2]])/MAX(HernieVergleich[[#This Row],[Anzahl KH1]],HernieVergleich[[#This Row],[Anzahl KH2]]))</f>
        <v>0.34234234234234234</v>
      </c>
      <c r="Q21" s="7">
        <f>IF(MIN(HernieVergleich[[#This Row],[Anzahl KH1]],HernieVergleich[[#This Row],[Anzahl KH2]])=0,"∞",MAX(HernieVergleich[[#This Row],[Anzahl KH1]],HernieVergleich[[#This Row],[Anzahl KH2]])/MIN(HernieVergleich[[#This Row],[Anzahl KH1]],HernieVergleich[[#This Row],[Anzahl KH2]]))</f>
        <v>1.5205479452054795</v>
      </c>
      <c r="R21" s="7">
        <f>ABS(HernieVergleich[[#This Row],[Anzahl KH1]]-HernieVergleich[[#This Row],[Anzahl KH2]])*0.4</f>
        <v>15.200000000000001</v>
      </c>
    </row>
    <row r="22" spans="1:18" x14ac:dyDescent="0.3">
      <c r="A22" s="4" t="str">
        <v>Harnstreifen</v>
      </c>
      <c r="B22" t="str" cm="1">
        <f t="array" ref="B22">_xlfn.XLOOKUP(A22,TRIM(DatenHernie[Art der Leistung]),DatenHernie[Kategorie (Labor, Rad, Lunge, EKG)],"")</f>
        <v>Laborleistungen</v>
      </c>
      <c r="C22" s="7" t="str" cm="1">
        <f t="array" ref="C22">_xlfn.XLOOKUP(A22,TRIM(DatenHernie[Art der Leistung]),DatenHernie[Operationsart],"")</f>
        <v>Hernie</v>
      </c>
      <c r="D22" s="7">
        <f>SUMIFS(DatenHernie[Anzahl],DatenHernie[Art der Leistung],$A22,DatenHernie[Kategorie (Labor, Rad, Lunge, EKG)],$B22,DatenHernie[Operationsart],$C22,DatenHernie[KH],"KH 1")</f>
        <v>57</v>
      </c>
      <c r="E22" s="7">
        <f>SUMIFS(DatenHernie[Anzahl],DatenHernie[Art der Leistung],$A22,DatenHernie[Kategorie (Labor, Rad, Lunge, EKG)],$B22,DatenHernie[Operationsart],$C22,DatenHernie[KH],"KH 2")</f>
        <v>88</v>
      </c>
      <c r="F22" s="10">
        <f t="shared" si="0"/>
        <v>31</v>
      </c>
      <c r="I22" s="14" t="s">
        <v>29</v>
      </c>
      <c r="J22" t="s">
        <v>7</v>
      </c>
      <c r="K22" s="7" t="s">
        <v>8</v>
      </c>
      <c r="L22" s="7">
        <v>57</v>
      </c>
      <c r="M22" s="7">
        <v>88</v>
      </c>
      <c r="N22" s="7">
        <f>AVERAGE(HernieVergleich[[#This Row],[Anzahl KH1]],HernieVergleich[[#This Row],[Anzahl KH2]])</f>
        <v>72.5</v>
      </c>
      <c r="O22" s="7">
        <f>ABS(HernieVergleich[[#This Row],[Anzahl KH1]]-HernieVergleich[[#This Row],[Anzahl KH2]])</f>
        <v>31</v>
      </c>
      <c r="P22" s="21">
        <f>IF(MAX(HernieVergleich[[#This Row],[Anzahl KH1]],HernieVergleich[[#This Row],[Anzahl KH2]])=0,0,ABS(HernieVergleich[[#This Row],[Anzahl KH1]]-HernieVergleich[[#This Row],[Anzahl KH2]])/MAX(HernieVergleich[[#This Row],[Anzahl KH1]],HernieVergleich[[#This Row],[Anzahl KH2]]))</f>
        <v>0.35227272727272729</v>
      </c>
      <c r="Q22" s="7">
        <f>IF(MIN(HernieVergleich[[#This Row],[Anzahl KH1]],HernieVergleich[[#This Row],[Anzahl KH2]])=0,"∞",MAX(HernieVergleich[[#This Row],[Anzahl KH1]],HernieVergleich[[#This Row],[Anzahl KH2]])/MIN(HernieVergleich[[#This Row],[Anzahl KH1]],HernieVergleich[[#This Row],[Anzahl KH2]]))</f>
        <v>1.5438596491228069</v>
      </c>
      <c r="R22" s="7">
        <f>ABS(HernieVergleich[[#This Row],[Anzahl KH1]]-HernieVergleich[[#This Row],[Anzahl KH2]])*0.4</f>
        <v>12.4</v>
      </c>
    </row>
    <row r="23" spans="1:18" x14ac:dyDescent="0.3">
      <c r="A23" s="4" t="str">
        <v>Amylase-Spiegel im Plasma</v>
      </c>
      <c r="B23" t="str" cm="1">
        <f t="array" ref="B23">_xlfn.XLOOKUP(A23,TRIM(DatenHernie[Art der Leistung]),DatenHernie[Kategorie (Labor, Rad, Lunge, EKG)],"")</f>
        <v>Laborleistungen</v>
      </c>
      <c r="C23" s="7" t="str" cm="1">
        <f t="array" ref="C23">_xlfn.XLOOKUP(A23,TRIM(DatenHernie[Art der Leistung]),DatenHernie[Operationsart],"")</f>
        <v>Hernie</v>
      </c>
      <c r="D23" s="7">
        <f>SUMIFS(DatenHernie[Anzahl],DatenHernie[Art der Leistung],$A23,DatenHernie[Kategorie (Labor, Rad, Lunge, EKG)],$B23,DatenHernie[Operationsart],$C23,DatenHernie[KH],"KH 1")</f>
        <v>57</v>
      </c>
      <c r="E23" s="7">
        <f>SUMIFS(DatenHernie[Anzahl],DatenHernie[Art der Leistung],$A23,DatenHernie[Kategorie (Labor, Rad, Lunge, EKG)],$B23,DatenHernie[Operationsart],$C23,DatenHernie[KH],"KH 2")</f>
        <v>0</v>
      </c>
      <c r="F23" s="10">
        <f t="shared" si="0"/>
        <v>57</v>
      </c>
      <c r="I23" s="14" t="s">
        <v>19</v>
      </c>
      <c r="J23" t="s">
        <v>7</v>
      </c>
      <c r="K23" s="7" t="s">
        <v>8</v>
      </c>
      <c r="L23" s="7">
        <v>102</v>
      </c>
      <c r="M23" s="7">
        <v>74</v>
      </c>
      <c r="N23" s="7">
        <f>AVERAGE(HernieVergleich[[#This Row],[Anzahl KH1]],HernieVergleich[[#This Row],[Anzahl KH2]])</f>
        <v>88</v>
      </c>
      <c r="O23" s="7">
        <f>ABS(HernieVergleich[[#This Row],[Anzahl KH1]]-HernieVergleich[[#This Row],[Anzahl KH2]])</f>
        <v>28</v>
      </c>
      <c r="P23" s="21">
        <f>IF(MAX(HernieVergleich[[#This Row],[Anzahl KH1]],HernieVergleich[[#This Row],[Anzahl KH2]])=0,0,ABS(HernieVergleich[[#This Row],[Anzahl KH1]]-HernieVergleich[[#This Row],[Anzahl KH2]])/MAX(HernieVergleich[[#This Row],[Anzahl KH1]],HernieVergleich[[#This Row],[Anzahl KH2]]))</f>
        <v>0.27450980392156865</v>
      </c>
      <c r="Q23" s="7">
        <f>IF(MIN(HernieVergleich[[#This Row],[Anzahl KH1]],HernieVergleich[[#This Row],[Anzahl KH2]])=0,"∞",MAX(HernieVergleich[[#This Row],[Anzahl KH1]],HernieVergleich[[#This Row],[Anzahl KH2]])/MIN(HernieVergleich[[#This Row],[Anzahl KH1]],HernieVergleich[[#This Row],[Anzahl KH2]]))</f>
        <v>1.3783783783783783</v>
      </c>
      <c r="R23" s="7">
        <f>ABS(HernieVergleich[[#This Row],[Anzahl KH1]]-HernieVergleich[[#This Row],[Anzahl KH2]])*0.4</f>
        <v>11.200000000000001</v>
      </c>
    </row>
    <row r="24" spans="1:18" x14ac:dyDescent="0.3">
      <c r="A24" s="4" t="str">
        <v>Albumin-Spiegel im Plasma</v>
      </c>
      <c r="B24" t="str" cm="1">
        <f t="array" ref="B24">_xlfn.XLOOKUP(A24,TRIM(DatenHernie[Art der Leistung]),DatenHernie[Kategorie (Labor, Rad, Lunge, EKG)],"")</f>
        <v>Laborleistungen</v>
      </c>
      <c r="C24" s="7" t="str" cm="1">
        <f t="array" ref="C24">_xlfn.XLOOKUP(A24,TRIM(DatenHernie[Art der Leistung]),DatenHernie[Operationsart],"")</f>
        <v>Hernie</v>
      </c>
      <c r="D24" s="7">
        <f>SUMIFS(DatenHernie[Anzahl],DatenHernie[Art der Leistung],$A24,DatenHernie[Kategorie (Labor, Rad, Lunge, EKG)],$B24,DatenHernie[Operationsart],$C24,DatenHernie[KH],"KH 1")</f>
        <v>57</v>
      </c>
      <c r="E24" s="7">
        <f>SUMIFS(DatenHernie[Anzahl],DatenHernie[Art der Leistung],$A24,DatenHernie[Kategorie (Labor, Rad, Lunge, EKG)],$B24,DatenHernie[Operationsart],$C24,DatenHernie[KH],"KH 2")</f>
        <v>0</v>
      </c>
      <c r="F24" s="10">
        <f t="shared" si="0"/>
        <v>57</v>
      </c>
      <c r="I24" s="14" t="s">
        <v>20</v>
      </c>
      <c r="J24" t="s">
        <v>7</v>
      </c>
      <c r="K24" s="7" t="s">
        <v>8</v>
      </c>
      <c r="L24" s="7">
        <v>97</v>
      </c>
      <c r="M24" s="7">
        <v>70</v>
      </c>
      <c r="N24" s="7">
        <f>AVERAGE(HernieVergleich[[#This Row],[Anzahl KH1]],HernieVergleich[[#This Row],[Anzahl KH2]])</f>
        <v>83.5</v>
      </c>
      <c r="O24" s="7">
        <f>ABS(HernieVergleich[[#This Row],[Anzahl KH1]]-HernieVergleich[[#This Row],[Anzahl KH2]])</f>
        <v>27</v>
      </c>
      <c r="P24" s="21">
        <f>IF(MAX(HernieVergleich[[#This Row],[Anzahl KH1]],HernieVergleich[[#This Row],[Anzahl KH2]])=0,0,ABS(HernieVergleich[[#This Row],[Anzahl KH1]]-HernieVergleich[[#This Row],[Anzahl KH2]])/MAX(HernieVergleich[[#This Row],[Anzahl KH1]],HernieVergleich[[#This Row],[Anzahl KH2]]))</f>
        <v>0.27835051546391754</v>
      </c>
      <c r="Q24" s="7">
        <f>IF(MIN(HernieVergleich[[#This Row],[Anzahl KH1]],HernieVergleich[[#This Row],[Anzahl KH2]])=0,"∞",MAX(HernieVergleich[[#This Row],[Anzahl KH1]],HernieVergleich[[#This Row],[Anzahl KH2]])/MIN(HernieVergleich[[#This Row],[Anzahl KH1]],HernieVergleich[[#This Row],[Anzahl KH2]]))</f>
        <v>1.3857142857142857</v>
      </c>
      <c r="R24" s="7">
        <f>ABS(HernieVergleich[[#This Row],[Anzahl KH1]]-HernieVergleich[[#This Row],[Anzahl KH2]])*0.4</f>
        <v>10.8</v>
      </c>
    </row>
    <row r="25" spans="1:18" x14ac:dyDescent="0.3">
      <c r="A25" s="4" t="str">
        <v>Lipasebestimmung</v>
      </c>
      <c r="B25" t="str" cm="1">
        <f t="array" ref="B25">_xlfn.XLOOKUP(A25,TRIM(DatenHernie[Art der Leistung]),DatenHernie[Kategorie (Labor, Rad, Lunge, EKG)],"")</f>
        <v>Laborleistungen</v>
      </c>
      <c r="C25" s="7" t="str" cm="1">
        <f t="array" ref="C25">_xlfn.XLOOKUP(A25,TRIM(DatenHernie[Art der Leistung]),DatenHernie[Operationsart],"")</f>
        <v>Hernie</v>
      </c>
      <c r="D25" s="7">
        <f>SUMIFS(DatenHernie[Anzahl],DatenHernie[Art der Leistung],$A25,DatenHernie[Kategorie (Labor, Rad, Lunge, EKG)],$B25,DatenHernie[Operationsart],$C25,DatenHernie[KH],"KH 1")</f>
        <v>57</v>
      </c>
      <c r="E25" s="7">
        <f>SUMIFS(DatenHernie[Anzahl],DatenHernie[Art der Leistung],$A25,DatenHernie[Kategorie (Labor, Rad, Lunge, EKG)],$B25,DatenHernie[Operationsart],$C25,DatenHernie[KH],"KH 2")</f>
        <v>0</v>
      </c>
      <c r="F25" s="10">
        <f t="shared" si="0"/>
        <v>57</v>
      </c>
      <c r="I25" s="14" t="s">
        <v>21</v>
      </c>
      <c r="J25" t="s">
        <v>7</v>
      </c>
      <c r="K25" s="7" t="s">
        <v>8</v>
      </c>
      <c r="L25" s="7">
        <v>97</v>
      </c>
      <c r="M25" s="7">
        <v>70</v>
      </c>
      <c r="N25" s="7">
        <f>AVERAGE(HernieVergleich[[#This Row],[Anzahl KH1]],HernieVergleich[[#This Row],[Anzahl KH2]])</f>
        <v>83.5</v>
      </c>
      <c r="O25" s="7">
        <f>ABS(HernieVergleich[[#This Row],[Anzahl KH1]]-HernieVergleich[[#This Row],[Anzahl KH2]])</f>
        <v>27</v>
      </c>
      <c r="P25" s="21">
        <f>IF(MAX(HernieVergleich[[#This Row],[Anzahl KH1]],HernieVergleich[[#This Row],[Anzahl KH2]])=0,0,ABS(HernieVergleich[[#This Row],[Anzahl KH1]]-HernieVergleich[[#This Row],[Anzahl KH2]])/MAX(HernieVergleich[[#This Row],[Anzahl KH1]],HernieVergleich[[#This Row],[Anzahl KH2]]))</f>
        <v>0.27835051546391754</v>
      </c>
      <c r="Q25" s="7">
        <f>IF(MIN(HernieVergleich[[#This Row],[Anzahl KH1]],HernieVergleich[[#This Row],[Anzahl KH2]])=0,"∞",MAX(HernieVergleich[[#This Row],[Anzahl KH1]],HernieVergleich[[#This Row],[Anzahl KH2]])/MIN(HernieVergleich[[#This Row],[Anzahl KH1]],HernieVergleich[[#This Row],[Anzahl KH2]]))</f>
        <v>1.3857142857142857</v>
      </c>
      <c r="R25" s="7">
        <f>ABS(HernieVergleich[[#This Row],[Anzahl KH1]]-HernieVergleich[[#This Row],[Anzahl KH2]])*0.4</f>
        <v>10.8</v>
      </c>
    </row>
    <row r="26" spans="1:18" x14ac:dyDescent="0.3">
      <c r="A26" s="4" t="str">
        <v>Fibrinogenbestimmung</v>
      </c>
      <c r="B26" t="str" cm="1">
        <f t="array" ref="B26">_xlfn.XLOOKUP(A26,TRIM(DatenHernie[Art der Leistung]),DatenHernie[Kategorie (Labor, Rad, Lunge, EKG)],"")</f>
        <v>Laborleistungen</v>
      </c>
      <c r="C26" s="7" t="str" cm="1">
        <f t="array" ref="C26">_xlfn.XLOOKUP(A26,TRIM(DatenHernie[Art der Leistung]),DatenHernie[Operationsart],"")</f>
        <v>Hernie</v>
      </c>
      <c r="D26" s="7">
        <f>SUMIFS(DatenHernie[Anzahl],DatenHernie[Art der Leistung],$A26,DatenHernie[Kategorie (Labor, Rad, Lunge, EKG)],$B26,DatenHernie[Operationsart],$C26,DatenHernie[KH],"KH 1")</f>
        <v>57</v>
      </c>
      <c r="E26" s="7">
        <f>SUMIFS(DatenHernie[Anzahl],DatenHernie[Art der Leistung],$A26,DatenHernie[Kategorie (Labor, Rad, Lunge, EKG)],$B26,DatenHernie[Operationsart],$C26,DatenHernie[KH],"KH 2")</f>
        <v>0</v>
      </c>
      <c r="F26" s="10">
        <f t="shared" si="0"/>
        <v>57</v>
      </c>
      <c r="I26" s="14" t="s">
        <v>22</v>
      </c>
      <c r="J26" t="s">
        <v>7</v>
      </c>
      <c r="K26" s="7" t="s">
        <v>8</v>
      </c>
      <c r="L26" s="7">
        <v>97</v>
      </c>
      <c r="M26" s="7">
        <v>70</v>
      </c>
      <c r="N26" s="7">
        <f>AVERAGE(HernieVergleich[[#This Row],[Anzahl KH1]],HernieVergleich[[#This Row],[Anzahl KH2]])</f>
        <v>83.5</v>
      </c>
      <c r="O26" s="7">
        <f>ABS(HernieVergleich[[#This Row],[Anzahl KH1]]-HernieVergleich[[#This Row],[Anzahl KH2]])</f>
        <v>27</v>
      </c>
      <c r="P26" s="21">
        <f>IF(MAX(HernieVergleich[[#This Row],[Anzahl KH1]],HernieVergleich[[#This Row],[Anzahl KH2]])=0,0,ABS(HernieVergleich[[#This Row],[Anzahl KH1]]-HernieVergleich[[#This Row],[Anzahl KH2]])/MAX(HernieVergleich[[#This Row],[Anzahl KH1]],HernieVergleich[[#This Row],[Anzahl KH2]]))</f>
        <v>0.27835051546391754</v>
      </c>
      <c r="Q26" s="7">
        <f>IF(MIN(HernieVergleich[[#This Row],[Anzahl KH1]],HernieVergleich[[#This Row],[Anzahl KH2]])=0,"∞",MAX(HernieVergleich[[#This Row],[Anzahl KH1]],HernieVergleich[[#This Row],[Anzahl KH2]])/MIN(HernieVergleich[[#This Row],[Anzahl KH1]],HernieVergleich[[#This Row],[Anzahl KH2]]))</f>
        <v>1.3857142857142857</v>
      </c>
      <c r="R26" s="7">
        <f>ABS(HernieVergleich[[#This Row],[Anzahl KH1]]-HernieVergleich[[#This Row],[Anzahl KH2]])*0.4</f>
        <v>10.8</v>
      </c>
    </row>
    <row r="27" spans="1:18" x14ac:dyDescent="0.3">
      <c r="A27" s="4" t="str">
        <v>Blutkörperchenzählung, automatisiert</v>
      </c>
      <c r="B27" t="str" cm="1">
        <f t="array" ref="B27">_xlfn.XLOOKUP(A27,TRIM(DatenHernie[Art der Leistung]),DatenHernie[Kategorie (Labor, Rad, Lunge, EKG)],"")</f>
        <v>Laborleistungen</v>
      </c>
      <c r="C27" s="7" t="str" cm="1">
        <f t="array" ref="C27">_xlfn.XLOOKUP(A27,TRIM(DatenHernie[Art der Leistung]),DatenHernie[Operationsart],"")</f>
        <v>Hernie</v>
      </c>
      <c r="D27" s="7">
        <f>SUMIFS(DatenHernie[Anzahl],DatenHernie[Art der Leistung],$A27,DatenHernie[Kategorie (Labor, Rad, Lunge, EKG)],$B27,DatenHernie[Operationsart],$C27,DatenHernie[KH],"KH 1")</f>
        <v>50</v>
      </c>
      <c r="E27" s="7">
        <f>SUMIFS(DatenHernie[Anzahl],DatenHernie[Art der Leistung],$A27,DatenHernie[Kategorie (Labor, Rad, Lunge, EKG)],$B27,DatenHernie[Operationsart],$C27,DatenHernie[KH],"KH 2")</f>
        <v>98</v>
      </c>
      <c r="F27" s="10">
        <f t="shared" si="0"/>
        <v>48</v>
      </c>
      <c r="I27" s="14" t="s">
        <v>23</v>
      </c>
      <c r="J27" t="s">
        <v>7</v>
      </c>
      <c r="K27" s="7" t="s">
        <v>8</v>
      </c>
      <c r="L27" s="7">
        <v>97</v>
      </c>
      <c r="M27" s="7">
        <v>70</v>
      </c>
      <c r="N27" s="7">
        <f>AVERAGE(HernieVergleich[[#This Row],[Anzahl KH1]],HernieVergleich[[#This Row],[Anzahl KH2]])</f>
        <v>83.5</v>
      </c>
      <c r="O27" s="7">
        <f>ABS(HernieVergleich[[#This Row],[Anzahl KH1]]-HernieVergleich[[#This Row],[Anzahl KH2]])</f>
        <v>27</v>
      </c>
      <c r="P27" s="21">
        <f>IF(MAX(HernieVergleich[[#This Row],[Anzahl KH1]],HernieVergleich[[#This Row],[Anzahl KH2]])=0,0,ABS(HernieVergleich[[#This Row],[Anzahl KH1]]-HernieVergleich[[#This Row],[Anzahl KH2]])/MAX(HernieVergleich[[#This Row],[Anzahl KH1]],HernieVergleich[[#This Row],[Anzahl KH2]]))</f>
        <v>0.27835051546391754</v>
      </c>
      <c r="Q27" s="7">
        <f>IF(MIN(HernieVergleich[[#This Row],[Anzahl KH1]],HernieVergleich[[#This Row],[Anzahl KH2]])=0,"∞",MAX(HernieVergleich[[#This Row],[Anzahl KH1]],HernieVergleich[[#This Row],[Anzahl KH2]])/MIN(HernieVergleich[[#This Row],[Anzahl KH1]],HernieVergleich[[#This Row],[Anzahl KH2]]))</f>
        <v>1.3857142857142857</v>
      </c>
      <c r="R27" s="7">
        <f>ABS(HernieVergleich[[#This Row],[Anzahl KH1]]-HernieVergleich[[#This Row],[Anzahl KH2]])*0.4</f>
        <v>10.8</v>
      </c>
    </row>
    <row r="28" spans="1:18" x14ac:dyDescent="0.3">
      <c r="A28" s="4" t="str">
        <v>Harnstoffbestimmung im Harn</v>
      </c>
      <c r="B28" t="str" cm="1">
        <f t="array" ref="B28">_xlfn.XLOOKUP(A28,TRIM(DatenHernie[Art der Leistung]),DatenHernie[Kategorie (Labor, Rad, Lunge, EKG)],"")</f>
        <v>Laborleistungen</v>
      </c>
      <c r="C28" s="7" t="str" cm="1">
        <f t="array" ref="C28">_xlfn.XLOOKUP(A28,TRIM(DatenHernie[Art der Leistung]),DatenHernie[Operationsart],"")</f>
        <v>Hernie</v>
      </c>
      <c r="D28" s="7">
        <f>SUMIFS(DatenHernie[Anzahl],DatenHernie[Art der Leistung],$A28,DatenHernie[Kategorie (Labor, Rad, Lunge, EKG)],$B28,DatenHernie[Operationsart],$C28,DatenHernie[KH],"KH 1")</f>
        <v>48</v>
      </c>
      <c r="E28" s="7">
        <f>SUMIFS(DatenHernie[Anzahl],DatenHernie[Art der Leistung],$A28,DatenHernie[Kategorie (Labor, Rad, Lunge, EKG)],$B28,DatenHernie[Operationsart],$C28,DatenHernie[KH],"KH 2")</f>
        <v>72</v>
      </c>
      <c r="F28" s="10">
        <f t="shared" si="0"/>
        <v>24</v>
      </c>
      <c r="I28" s="14" t="s">
        <v>35</v>
      </c>
      <c r="J28" t="s">
        <v>7</v>
      </c>
      <c r="K28" s="7" t="s">
        <v>8</v>
      </c>
      <c r="L28" s="7">
        <v>48</v>
      </c>
      <c r="M28" s="7">
        <v>72</v>
      </c>
      <c r="N28" s="7">
        <f>AVERAGE(HernieVergleich[[#This Row],[Anzahl KH1]],HernieVergleich[[#This Row],[Anzahl KH2]])</f>
        <v>60</v>
      </c>
      <c r="O28" s="7">
        <f>ABS(HernieVergleich[[#This Row],[Anzahl KH1]]-HernieVergleich[[#This Row],[Anzahl KH2]])</f>
        <v>24</v>
      </c>
      <c r="P28" s="21">
        <f>IF(MAX(HernieVergleich[[#This Row],[Anzahl KH1]],HernieVergleich[[#This Row],[Anzahl KH2]])=0,0,ABS(HernieVergleich[[#This Row],[Anzahl KH1]]-HernieVergleich[[#This Row],[Anzahl KH2]])/MAX(HernieVergleich[[#This Row],[Anzahl KH1]],HernieVergleich[[#This Row],[Anzahl KH2]]))</f>
        <v>0.33333333333333331</v>
      </c>
      <c r="Q28" s="7">
        <f>IF(MIN(HernieVergleich[[#This Row],[Anzahl KH1]],HernieVergleich[[#This Row],[Anzahl KH2]])=0,"∞",MAX(HernieVergleich[[#This Row],[Anzahl KH1]],HernieVergleich[[#This Row],[Anzahl KH2]])/MIN(HernieVergleich[[#This Row],[Anzahl KH1]],HernieVergleich[[#This Row],[Anzahl KH2]]))</f>
        <v>1.5</v>
      </c>
      <c r="R28" s="7">
        <f>ABS(HernieVergleich[[#This Row],[Anzahl KH1]]-HernieVergleich[[#This Row],[Anzahl KH2]])*0.4</f>
        <v>9.6000000000000014</v>
      </c>
    </row>
    <row r="29" spans="1:18" x14ac:dyDescent="0.3">
      <c r="A29" s="4" t="str">
        <v>Calculation of international normalized ratio (procedure)</v>
      </c>
      <c r="B29" t="str" cm="1">
        <f t="array" ref="B29">_xlfn.XLOOKUP(A29,TRIM(DatenHernie[Art der Leistung]),DatenHernie[Kategorie (Labor, Rad, Lunge, EKG)],"")</f>
        <v>Laborleistungen</v>
      </c>
      <c r="C29" s="7" t="str" cm="1">
        <f t="array" ref="C29">_xlfn.XLOOKUP(A29,TRIM(DatenHernie[Art der Leistung]),DatenHernie[Operationsart],"")</f>
        <v>Hernie</v>
      </c>
      <c r="D29" s="7">
        <f>SUMIFS(DatenHernie[Anzahl],DatenHernie[Art der Leistung],$A29,DatenHernie[Kategorie (Labor, Rad, Lunge, EKG)],$B29,DatenHernie[Operationsart],$C29,DatenHernie[KH],"KH 1")</f>
        <v>29</v>
      </c>
      <c r="E29" s="7">
        <f>SUMIFS(DatenHernie[Anzahl],DatenHernie[Art der Leistung],$A29,DatenHernie[Kategorie (Labor, Rad, Lunge, EKG)],$B29,DatenHernie[Operationsart],$C29,DatenHernie[KH],"KH 2")</f>
        <v>95</v>
      </c>
      <c r="F29" s="10">
        <f t="shared" si="0"/>
        <v>66</v>
      </c>
      <c r="I29" s="14" t="s">
        <v>24</v>
      </c>
      <c r="J29" t="s">
        <v>7</v>
      </c>
      <c r="K29" s="7" t="s">
        <v>8</v>
      </c>
      <c r="L29" s="7">
        <v>94</v>
      </c>
      <c r="M29" s="7">
        <v>72</v>
      </c>
      <c r="N29" s="7">
        <f>AVERAGE(HernieVergleich[[#This Row],[Anzahl KH1]],HernieVergleich[[#This Row],[Anzahl KH2]])</f>
        <v>83</v>
      </c>
      <c r="O29" s="7">
        <f>ABS(HernieVergleich[[#This Row],[Anzahl KH1]]-HernieVergleich[[#This Row],[Anzahl KH2]])</f>
        <v>22</v>
      </c>
      <c r="P29" s="21">
        <f>IF(MAX(HernieVergleich[[#This Row],[Anzahl KH1]],HernieVergleich[[#This Row],[Anzahl KH2]])=0,0,ABS(HernieVergleich[[#This Row],[Anzahl KH1]]-HernieVergleich[[#This Row],[Anzahl KH2]])/MAX(HernieVergleich[[#This Row],[Anzahl KH1]],HernieVergleich[[#This Row],[Anzahl KH2]]))</f>
        <v>0.23404255319148937</v>
      </c>
      <c r="Q29" s="7">
        <f>IF(MIN(HernieVergleich[[#This Row],[Anzahl KH1]],HernieVergleich[[#This Row],[Anzahl KH2]])=0,"∞",MAX(HernieVergleich[[#This Row],[Anzahl KH1]],HernieVergleich[[#This Row],[Anzahl KH2]])/MIN(HernieVergleich[[#This Row],[Anzahl KH1]],HernieVergleich[[#This Row],[Anzahl KH2]]))</f>
        <v>1.3055555555555556</v>
      </c>
      <c r="R29" s="7">
        <f>ABS(HernieVergleich[[#This Row],[Anzahl KH1]]-HernieVergleich[[#This Row],[Anzahl KH2]])*0.4</f>
        <v>8.8000000000000007</v>
      </c>
    </row>
    <row r="30" spans="1:18" x14ac:dyDescent="0.3">
      <c r="A30" s="4" t="str">
        <v>Kreatinkinase-Bestimmung</v>
      </c>
      <c r="B30" t="str" cm="1">
        <f t="array" ref="B30">_xlfn.XLOOKUP(A30,TRIM(DatenHernie[Art der Leistung]),DatenHernie[Kategorie (Labor, Rad, Lunge, EKG)],"")</f>
        <v>Laborleistungen</v>
      </c>
      <c r="C30" s="7" t="str" cm="1">
        <f t="array" ref="C30">_xlfn.XLOOKUP(A30,TRIM(DatenHernie[Art der Leistung]),DatenHernie[Operationsart],"")</f>
        <v>Hernie</v>
      </c>
      <c r="D30" s="7">
        <f>SUMIFS(DatenHernie[Anzahl],DatenHernie[Art der Leistung],$A30,DatenHernie[Kategorie (Labor, Rad, Lunge, EKG)],$B30,DatenHernie[Operationsart],$C30,DatenHernie[KH],"KH 1")</f>
        <v>20</v>
      </c>
      <c r="E30" s="7">
        <f>SUMIFS(DatenHernie[Anzahl],DatenHernie[Art der Leistung],$A30,DatenHernie[Kategorie (Labor, Rad, Lunge, EKG)],$B30,DatenHernie[Operationsart],$C30,DatenHernie[KH],"KH 2")</f>
        <v>3</v>
      </c>
      <c r="F30" s="10">
        <f t="shared" si="0"/>
        <v>17</v>
      </c>
      <c r="I30" s="14" t="s">
        <v>25</v>
      </c>
      <c r="J30" t="s">
        <v>7</v>
      </c>
      <c r="K30" s="7" t="s">
        <v>8</v>
      </c>
      <c r="L30" s="7">
        <v>94</v>
      </c>
      <c r="M30" s="7">
        <v>72</v>
      </c>
      <c r="N30" s="7">
        <f>AVERAGE(HernieVergleich[[#This Row],[Anzahl KH1]],HernieVergleich[[#This Row],[Anzahl KH2]])</f>
        <v>83</v>
      </c>
      <c r="O30" s="7">
        <f>ABS(HernieVergleich[[#This Row],[Anzahl KH1]]-HernieVergleich[[#This Row],[Anzahl KH2]])</f>
        <v>22</v>
      </c>
      <c r="P30" s="21">
        <f>IF(MAX(HernieVergleich[[#This Row],[Anzahl KH1]],HernieVergleich[[#This Row],[Anzahl KH2]])=0,0,ABS(HernieVergleich[[#This Row],[Anzahl KH1]]-HernieVergleich[[#This Row],[Anzahl KH2]])/MAX(HernieVergleich[[#This Row],[Anzahl KH1]],HernieVergleich[[#This Row],[Anzahl KH2]]))</f>
        <v>0.23404255319148937</v>
      </c>
      <c r="Q30" s="7">
        <f>IF(MIN(HernieVergleich[[#This Row],[Anzahl KH1]],HernieVergleich[[#This Row],[Anzahl KH2]])=0,"∞",MAX(HernieVergleich[[#This Row],[Anzahl KH1]],HernieVergleich[[#This Row],[Anzahl KH2]])/MIN(HernieVergleich[[#This Row],[Anzahl KH1]],HernieVergleich[[#This Row],[Anzahl KH2]]))</f>
        <v>1.3055555555555556</v>
      </c>
      <c r="R30" s="7">
        <f>ABS(HernieVergleich[[#This Row],[Anzahl KH1]]-HernieVergleich[[#This Row],[Anzahl KH2]])*0.4</f>
        <v>8.8000000000000007</v>
      </c>
    </row>
    <row r="31" spans="1:18" x14ac:dyDescent="0.3">
      <c r="A31" s="4" t="str">
        <v>Harnsäurebestimmung, Harn</v>
      </c>
      <c r="B31" t="str" cm="1">
        <f t="array" ref="B31">_xlfn.XLOOKUP(A31,TRIM(DatenHernie[Art der Leistung]),DatenHernie[Kategorie (Labor, Rad, Lunge, EKG)],"")</f>
        <v>Laborleistungen</v>
      </c>
      <c r="C31" s="7" t="str" cm="1">
        <f t="array" ref="C31">_xlfn.XLOOKUP(A31,TRIM(DatenHernie[Art der Leistung]),DatenHernie[Operationsart],"")</f>
        <v>Hernie</v>
      </c>
      <c r="D31" s="7">
        <f>SUMIFS(DatenHernie[Anzahl],DatenHernie[Art der Leistung],$A31,DatenHernie[Kategorie (Labor, Rad, Lunge, EKG)],$B31,DatenHernie[Operationsart],$C31,DatenHernie[KH],"KH 1")</f>
        <v>20</v>
      </c>
      <c r="E31" s="7">
        <f>SUMIFS(DatenHernie[Anzahl],DatenHernie[Art der Leistung],$A31,DatenHernie[Kategorie (Labor, Rad, Lunge, EKG)],$B31,DatenHernie[Operationsart],$C31,DatenHernie[KH],"KH 2")</f>
        <v>2</v>
      </c>
      <c r="F31" s="10">
        <f t="shared" si="0"/>
        <v>18</v>
      </c>
      <c r="I31" s="14" t="s">
        <v>71</v>
      </c>
      <c r="J31" t="s">
        <v>63</v>
      </c>
      <c r="K31" s="7" t="s">
        <v>8</v>
      </c>
      <c r="L31" s="7">
        <v>6</v>
      </c>
      <c r="M31" s="7">
        <v>27</v>
      </c>
      <c r="N31" s="7">
        <f>AVERAGE(HernieVergleich[[#This Row],[Anzahl KH1]],HernieVergleich[[#This Row],[Anzahl KH2]])</f>
        <v>16.5</v>
      </c>
      <c r="O31" s="7">
        <f>ABS(HernieVergleich[[#This Row],[Anzahl KH1]]-HernieVergleich[[#This Row],[Anzahl KH2]])</f>
        <v>21</v>
      </c>
      <c r="P31" s="21">
        <f>IF(MAX(HernieVergleich[[#This Row],[Anzahl KH1]],HernieVergleich[[#This Row],[Anzahl KH2]])=0,0,ABS(HernieVergleich[[#This Row],[Anzahl KH1]]-HernieVergleich[[#This Row],[Anzahl KH2]])/MAX(HernieVergleich[[#This Row],[Anzahl KH1]],HernieVergleich[[#This Row],[Anzahl KH2]]))</f>
        <v>0.77777777777777779</v>
      </c>
      <c r="Q31" s="7">
        <f>IF(MIN(HernieVergleich[[#This Row],[Anzahl KH1]],HernieVergleich[[#This Row],[Anzahl KH2]])=0,"∞",MAX(HernieVergleich[[#This Row],[Anzahl KH1]],HernieVergleich[[#This Row],[Anzahl KH2]])/MIN(HernieVergleich[[#This Row],[Anzahl KH1]],HernieVergleich[[#This Row],[Anzahl KH2]]))</f>
        <v>4.5</v>
      </c>
      <c r="R31" s="7">
        <f>ABS(HernieVergleich[[#This Row],[Anzahl KH1]]-HernieVergleich[[#This Row],[Anzahl KH2]])*0.4</f>
        <v>8.4</v>
      </c>
    </row>
    <row r="32" spans="1:18" x14ac:dyDescent="0.3">
      <c r="A32" s="4" t="str">
        <v>Anti-Faktor-Xa-Bestimmung</v>
      </c>
      <c r="B32" t="str" cm="1">
        <f t="array" ref="B32">_xlfn.XLOOKUP(A32,TRIM(DatenHernie[Art der Leistung]),DatenHernie[Kategorie (Labor, Rad, Lunge, EKG)],"")</f>
        <v>Laborleistungen</v>
      </c>
      <c r="C32" s="7" t="str" cm="1">
        <f t="array" ref="C32">_xlfn.XLOOKUP(A32,TRIM(DatenHernie[Art der Leistung]),DatenHernie[Operationsart],"")</f>
        <v>Hernie</v>
      </c>
      <c r="D32" s="7">
        <f>SUMIFS(DatenHernie[Anzahl],DatenHernie[Art der Leistung],$A32,DatenHernie[Kategorie (Labor, Rad, Lunge, EKG)],$B32,DatenHernie[Operationsart],$C32,DatenHernie[KH],"KH 1")</f>
        <v>11</v>
      </c>
      <c r="E32" s="7">
        <f>SUMIFS(DatenHernie[Anzahl],DatenHernie[Art der Leistung],$A32,DatenHernie[Kategorie (Labor, Rad, Lunge, EKG)],$B32,DatenHernie[Operationsart],$C32,DatenHernie[KH],"KH 2")</f>
        <v>0</v>
      </c>
      <c r="F32" s="10">
        <f t="shared" si="0"/>
        <v>11</v>
      </c>
      <c r="I32" s="14" t="s">
        <v>26</v>
      </c>
      <c r="J32" t="s">
        <v>7</v>
      </c>
      <c r="K32" s="7" t="s">
        <v>8</v>
      </c>
      <c r="L32" s="7">
        <v>73</v>
      </c>
      <c r="M32" s="7">
        <v>93</v>
      </c>
      <c r="N32" s="7">
        <f>AVERAGE(HernieVergleich[[#This Row],[Anzahl KH1]],HernieVergleich[[#This Row],[Anzahl KH2]])</f>
        <v>83</v>
      </c>
      <c r="O32" s="7">
        <f>ABS(HernieVergleich[[#This Row],[Anzahl KH1]]-HernieVergleich[[#This Row],[Anzahl KH2]])</f>
        <v>20</v>
      </c>
      <c r="P32" s="21">
        <f>IF(MAX(HernieVergleich[[#This Row],[Anzahl KH1]],HernieVergleich[[#This Row],[Anzahl KH2]])=0,0,ABS(HernieVergleich[[#This Row],[Anzahl KH1]]-HernieVergleich[[#This Row],[Anzahl KH2]])/MAX(HernieVergleich[[#This Row],[Anzahl KH1]],HernieVergleich[[#This Row],[Anzahl KH2]]))</f>
        <v>0.21505376344086022</v>
      </c>
      <c r="Q32" s="7">
        <f>IF(MIN(HernieVergleich[[#This Row],[Anzahl KH1]],HernieVergleich[[#This Row],[Anzahl KH2]])=0,"∞",MAX(HernieVergleich[[#This Row],[Anzahl KH1]],HernieVergleich[[#This Row],[Anzahl KH2]])/MIN(HernieVergleich[[#This Row],[Anzahl KH1]],HernieVergleich[[#This Row],[Anzahl KH2]]))</f>
        <v>1.273972602739726</v>
      </c>
      <c r="R32" s="7">
        <f>ABS(HernieVergleich[[#This Row],[Anzahl KH1]]-HernieVergleich[[#This Row],[Anzahl KH2]])*0.4</f>
        <v>8</v>
      </c>
    </row>
    <row r="33" spans="1:18" x14ac:dyDescent="0.3">
      <c r="A33" s="4" t="str">
        <v>Thrombozytentransfusion</v>
      </c>
      <c r="B33" t="str" cm="1">
        <f t="array" ref="B33">_xlfn.XLOOKUP(A33,TRIM(DatenHernie[Art der Leistung]),DatenHernie[Kategorie (Labor, Rad, Lunge, EKG)],"")</f>
        <v>Laborleistungen</v>
      </c>
      <c r="C33" s="7" t="str" cm="1">
        <f t="array" ref="C33">_xlfn.XLOOKUP(A33,TRIM(DatenHernie[Art der Leistung]),DatenHernie[Operationsart],"")</f>
        <v>Hernie</v>
      </c>
      <c r="D33" s="7">
        <f>SUMIFS(DatenHernie[Anzahl],DatenHernie[Art der Leistung],$A33,DatenHernie[Kategorie (Labor, Rad, Lunge, EKG)],$B33,DatenHernie[Operationsart],$C33,DatenHernie[KH],"KH 1")</f>
        <v>10</v>
      </c>
      <c r="E33" s="7">
        <f>SUMIFS(DatenHernie[Anzahl],DatenHernie[Art der Leistung],$A33,DatenHernie[Kategorie (Labor, Rad, Lunge, EKG)],$B33,DatenHernie[Operationsart],$C33,DatenHernie[KH],"KH 2")</f>
        <v>0</v>
      </c>
      <c r="F33" s="10">
        <f t="shared" si="0"/>
        <v>10</v>
      </c>
      <c r="I33" s="14" t="s">
        <v>38</v>
      </c>
      <c r="J33" t="s">
        <v>7</v>
      </c>
      <c r="K33" s="7" t="s">
        <v>8</v>
      </c>
      <c r="L33" s="7">
        <v>20</v>
      </c>
      <c r="M33" s="7">
        <v>2</v>
      </c>
      <c r="N33" s="7">
        <f>AVERAGE(HernieVergleich[[#This Row],[Anzahl KH1]],HernieVergleich[[#This Row],[Anzahl KH2]])</f>
        <v>11</v>
      </c>
      <c r="O33" s="7">
        <f>ABS(HernieVergleich[[#This Row],[Anzahl KH1]]-HernieVergleich[[#This Row],[Anzahl KH2]])</f>
        <v>18</v>
      </c>
      <c r="P33" s="21">
        <f>IF(MAX(HernieVergleich[[#This Row],[Anzahl KH1]],HernieVergleich[[#This Row],[Anzahl KH2]])=0,0,ABS(HernieVergleich[[#This Row],[Anzahl KH1]]-HernieVergleich[[#This Row],[Anzahl KH2]])/MAX(HernieVergleich[[#This Row],[Anzahl KH1]],HernieVergleich[[#This Row],[Anzahl KH2]]))</f>
        <v>0.9</v>
      </c>
      <c r="Q33" s="7">
        <f>IF(MIN(HernieVergleich[[#This Row],[Anzahl KH1]],HernieVergleich[[#This Row],[Anzahl KH2]])=0,"∞",MAX(HernieVergleich[[#This Row],[Anzahl KH1]],HernieVergleich[[#This Row],[Anzahl KH2]])/MIN(HernieVergleich[[#This Row],[Anzahl KH1]],HernieVergleich[[#This Row],[Anzahl KH2]]))</f>
        <v>10</v>
      </c>
      <c r="R33" s="7">
        <f>ABS(HernieVergleich[[#This Row],[Anzahl KH1]]-HernieVergleich[[#This Row],[Anzahl KH2]])*0.4</f>
        <v>7.2</v>
      </c>
    </row>
    <row r="34" spans="1:18" x14ac:dyDescent="0.3">
      <c r="A34" s="4" t="str">
        <v>Glukosebestimmung, Blut</v>
      </c>
      <c r="B34" t="str" cm="1">
        <f t="array" ref="B34">_xlfn.XLOOKUP(A34,TRIM(DatenHernie[Art der Leistung]),DatenHernie[Kategorie (Labor, Rad, Lunge, EKG)],"")</f>
        <v>Laborleistungen</v>
      </c>
      <c r="C34" s="7" t="str" cm="1">
        <f t="array" ref="C34">_xlfn.XLOOKUP(A34,TRIM(DatenHernie[Art der Leistung]),DatenHernie[Operationsart],"")</f>
        <v>Hernie</v>
      </c>
      <c r="D34" s="7">
        <f>SUMIFS(DatenHernie[Anzahl],DatenHernie[Art der Leistung],$A34,DatenHernie[Kategorie (Labor, Rad, Lunge, EKG)],$B34,DatenHernie[Operationsart],$C34,DatenHernie[KH],"KH 1")</f>
        <v>10</v>
      </c>
      <c r="E34" s="7">
        <f>SUMIFS(DatenHernie[Anzahl],DatenHernie[Art der Leistung],$A34,DatenHernie[Kategorie (Labor, Rad, Lunge, EKG)],$B34,DatenHernie[Operationsart],$C34,DatenHernie[KH],"KH 2")</f>
        <v>67</v>
      </c>
      <c r="F34" s="10">
        <f t="shared" si="0"/>
        <v>57</v>
      </c>
      <c r="I34" s="14" t="s">
        <v>37</v>
      </c>
      <c r="J34" t="s">
        <v>7</v>
      </c>
      <c r="K34" s="7" t="s">
        <v>8</v>
      </c>
      <c r="L34" s="7">
        <v>20</v>
      </c>
      <c r="M34" s="7">
        <v>3</v>
      </c>
      <c r="N34" s="7">
        <f>AVERAGE(HernieVergleich[[#This Row],[Anzahl KH1]],HernieVergleich[[#This Row],[Anzahl KH2]])</f>
        <v>11.5</v>
      </c>
      <c r="O34" s="7">
        <f>ABS(HernieVergleich[[#This Row],[Anzahl KH1]]-HernieVergleich[[#This Row],[Anzahl KH2]])</f>
        <v>17</v>
      </c>
      <c r="P34" s="21">
        <f>IF(MAX(HernieVergleich[[#This Row],[Anzahl KH1]],HernieVergleich[[#This Row],[Anzahl KH2]])=0,0,ABS(HernieVergleich[[#This Row],[Anzahl KH1]]-HernieVergleich[[#This Row],[Anzahl KH2]])/MAX(HernieVergleich[[#This Row],[Anzahl KH1]],HernieVergleich[[#This Row],[Anzahl KH2]]))</f>
        <v>0.85</v>
      </c>
      <c r="Q34" s="7">
        <f>IF(MIN(HernieVergleich[[#This Row],[Anzahl KH1]],HernieVergleich[[#This Row],[Anzahl KH2]])=0,"∞",MAX(HernieVergleich[[#This Row],[Anzahl KH1]],HernieVergleich[[#This Row],[Anzahl KH2]])/MIN(HernieVergleich[[#This Row],[Anzahl KH1]],HernieVergleich[[#This Row],[Anzahl KH2]]))</f>
        <v>6.666666666666667</v>
      </c>
      <c r="R34" s="7">
        <f>ABS(HernieVergleich[[#This Row],[Anzahl KH1]]-HernieVergleich[[#This Row],[Anzahl KH2]])*0.4</f>
        <v>6.8000000000000007</v>
      </c>
    </row>
    <row r="35" spans="1:18" x14ac:dyDescent="0.3">
      <c r="A35" s="4" t="str">
        <v>Test am Bett des Patienten</v>
      </c>
      <c r="B35" t="str" cm="1">
        <f t="array" ref="B35">_xlfn.XLOOKUP(A35,TRIM(DatenHernie[Art der Leistung]),DatenHernie[Kategorie (Labor, Rad, Lunge, EKG)],"")</f>
        <v>Laborleistungen</v>
      </c>
      <c r="C35" s="7" t="str" cm="1">
        <f t="array" ref="C35">_xlfn.XLOOKUP(A35,TRIM(DatenHernie[Art der Leistung]),DatenHernie[Operationsart],"")</f>
        <v>Hernie</v>
      </c>
      <c r="D35" s="7">
        <f>SUMIFS(DatenHernie[Anzahl],DatenHernie[Art der Leistung],$A35,DatenHernie[Kategorie (Labor, Rad, Lunge, EKG)],$B35,DatenHernie[Operationsart],$C35,DatenHernie[KH],"KH 1")</f>
        <v>10</v>
      </c>
      <c r="E35" s="7">
        <f>SUMIFS(DatenHernie[Anzahl],DatenHernie[Art der Leistung],$A35,DatenHernie[Kategorie (Labor, Rad, Lunge, EKG)],$B35,DatenHernie[Operationsart],$C35,DatenHernie[KH],"KH 2")</f>
        <v>0</v>
      </c>
      <c r="F35" s="10">
        <f t="shared" si="0"/>
        <v>10</v>
      </c>
      <c r="I35" s="14" t="s">
        <v>62</v>
      </c>
      <c r="J35" t="s">
        <v>63</v>
      </c>
      <c r="K35" s="7" t="s">
        <v>8</v>
      </c>
      <c r="L35" s="7">
        <v>16</v>
      </c>
      <c r="M35" s="7">
        <v>29</v>
      </c>
      <c r="N35" s="7">
        <f>AVERAGE(HernieVergleich[[#This Row],[Anzahl KH1]],HernieVergleich[[#This Row],[Anzahl KH2]])</f>
        <v>22.5</v>
      </c>
      <c r="O35" s="7">
        <f>ABS(HernieVergleich[[#This Row],[Anzahl KH1]]-HernieVergleich[[#This Row],[Anzahl KH2]])</f>
        <v>13</v>
      </c>
      <c r="P35" s="21">
        <f>IF(MAX(HernieVergleich[[#This Row],[Anzahl KH1]],HernieVergleich[[#This Row],[Anzahl KH2]])=0,0,ABS(HernieVergleich[[#This Row],[Anzahl KH1]]-HernieVergleich[[#This Row],[Anzahl KH2]])/MAX(HernieVergleich[[#This Row],[Anzahl KH1]],HernieVergleich[[#This Row],[Anzahl KH2]]))</f>
        <v>0.44827586206896552</v>
      </c>
      <c r="Q35" s="7">
        <f>IF(MIN(HernieVergleich[[#This Row],[Anzahl KH1]],HernieVergleich[[#This Row],[Anzahl KH2]])=0,"∞",MAX(HernieVergleich[[#This Row],[Anzahl KH1]],HernieVergleich[[#This Row],[Anzahl KH2]])/MIN(HernieVergleich[[#This Row],[Anzahl KH1]],HernieVergleich[[#This Row],[Anzahl KH2]]))</f>
        <v>1.8125</v>
      </c>
      <c r="R35" s="7">
        <f>ABS(HernieVergleich[[#This Row],[Anzahl KH1]]-HernieVergleich[[#This Row],[Anzahl KH2]])*0.4</f>
        <v>5.2</v>
      </c>
    </row>
    <row r="36" spans="1:18" x14ac:dyDescent="0.3">
      <c r="A36" s="4" t="str">
        <v>Osmolalitätbestimmung, Serum</v>
      </c>
      <c r="B36" t="str" cm="1">
        <f t="array" ref="B36">_xlfn.XLOOKUP(A36,TRIM(DatenHernie[Art der Leistung]),DatenHernie[Kategorie (Labor, Rad, Lunge, EKG)],"")</f>
        <v>Laborleistungen</v>
      </c>
      <c r="C36" s="7" t="str" cm="1">
        <f t="array" ref="C36">_xlfn.XLOOKUP(A36,TRIM(DatenHernie[Art der Leistung]),DatenHernie[Operationsart],"")</f>
        <v>Hernie</v>
      </c>
      <c r="D36" s="7">
        <f>SUMIFS(DatenHernie[Anzahl],DatenHernie[Art der Leistung],$A36,DatenHernie[Kategorie (Labor, Rad, Lunge, EKG)],$B36,DatenHernie[Operationsart],$C36,DatenHernie[KH],"KH 1")</f>
        <v>10</v>
      </c>
      <c r="E36" s="7">
        <f>SUMIFS(DatenHernie[Anzahl],DatenHernie[Art der Leistung],$A36,DatenHernie[Kategorie (Labor, Rad, Lunge, EKG)],$B36,DatenHernie[Operationsart],$C36,DatenHernie[KH],"KH 2")</f>
        <v>0</v>
      </c>
      <c r="F36" s="10">
        <f t="shared" si="0"/>
        <v>10</v>
      </c>
      <c r="I36" s="14" t="s">
        <v>51</v>
      </c>
      <c r="J36" t="s">
        <v>7</v>
      </c>
      <c r="K36" s="7" t="s">
        <v>8</v>
      </c>
      <c r="L36" s="7">
        <v>0</v>
      </c>
      <c r="M36" s="7">
        <v>12</v>
      </c>
      <c r="N36" s="7">
        <f>AVERAGE(HernieVergleich[[#This Row],[Anzahl KH1]],HernieVergleich[[#This Row],[Anzahl KH2]])</f>
        <v>6</v>
      </c>
      <c r="O36" s="7">
        <f>ABS(HernieVergleich[[#This Row],[Anzahl KH1]]-HernieVergleich[[#This Row],[Anzahl KH2]])</f>
        <v>12</v>
      </c>
      <c r="P36" s="21">
        <f>IF(MAX(HernieVergleich[[#This Row],[Anzahl KH1]],HernieVergleich[[#This Row],[Anzahl KH2]])=0,0,ABS(HernieVergleich[[#This Row],[Anzahl KH1]]-HernieVergleich[[#This Row],[Anzahl KH2]])/MAX(HernieVergleich[[#This Row],[Anzahl KH1]],HernieVergleich[[#This Row],[Anzahl KH2]]))</f>
        <v>1</v>
      </c>
      <c r="Q36" s="7" t="str">
        <f>IF(MIN(HernieVergleich[[#This Row],[Anzahl KH1]],HernieVergleich[[#This Row],[Anzahl KH2]])=0,"∞",MAX(HernieVergleich[[#This Row],[Anzahl KH1]],HernieVergleich[[#This Row],[Anzahl KH2]])/MIN(HernieVergleich[[#This Row],[Anzahl KH1]],HernieVergleich[[#This Row],[Anzahl KH2]]))</f>
        <v>∞</v>
      </c>
      <c r="R36" s="7">
        <f>ABS(HernieVergleich[[#This Row],[Anzahl KH1]]-HernieVergleich[[#This Row],[Anzahl KH2]])*0.4</f>
        <v>4.8000000000000007</v>
      </c>
    </row>
    <row r="37" spans="1:18" x14ac:dyDescent="0.3">
      <c r="A37" s="4" t="str">
        <v>AB0-Blutgruppenbestimmung</v>
      </c>
      <c r="B37" t="str" cm="1">
        <f t="array" ref="B37">_xlfn.XLOOKUP(A37,TRIM(DatenHernie[Art der Leistung]),DatenHernie[Kategorie (Labor, Rad, Lunge, EKG)],"")</f>
        <v>Laborleistungen</v>
      </c>
      <c r="C37" s="7" t="str" cm="1">
        <f t="array" ref="C37">_xlfn.XLOOKUP(A37,TRIM(DatenHernie[Art der Leistung]),DatenHernie[Operationsart],"")</f>
        <v>Hernie</v>
      </c>
      <c r="D37" s="7">
        <f>SUMIFS(DatenHernie[Anzahl],DatenHernie[Art der Leistung],$A37,DatenHernie[Kategorie (Labor, Rad, Lunge, EKG)],$B37,DatenHernie[Operationsart],$C37,DatenHernie[KH],"KH 1")</f>
        <v>9</v>
      </c>
      <c r="E37" s="7">
        <f>SUMIFS(DatenHernie[Anzahl],DatenHernie[Art der Leistung],$A37,DatenHernie[Kategorie (Labor, Rad, Lunge, EKG)],$B37,DatenHernie[Operationsart],$C37,DatenHernie[KH],"KH 2")</f>
        <v>0</v>
      </c>
      <c r="F37" s="10">
        <f t="shared" si="0"/>
        <v>9</v>
      </c>
      <c r="I37" s="14" t="s">
        <v>52</v>
      </c>
      <c r="J37" t="s">
        <v>7</v>
      </c>
      <c r="K37" s="7" t="s">
        <v>8</v>
      </c>
      <c r="L37" s="7">
        <v>0</v>
      </c>
      <c r="M37" s="7">
        <v>12</v>
      </c>
      <c r="N37" s="7">
        <f>AVERAGE(HernieVergleich[[#This Row],[Anzahl KH1]],HernieVergleich[[#This Row],[Anzahl KH2]])</f>
        <v>6</v>
      </c>
      <c r="O37" s="7">
        <f>ABS(HernieVergleich[[#This Row],[Anzahl KH1]]-HernieVergleich[[#This Row],[Anzahl KH2]])</f>
        <v>12</v>
      </c>
      <c r="P37" s="21">
        <f>IF(MAX(HernieVergleich[[#This Row],[Anzahl KH1]],HernieVergleich[[#This Row],[Anzahl KH2]])=0,0,ABS(HernieVergleich[[#This Row],[Anzahl KH1]]-HernieVergleich[[#This Row],[Anzahl KH2]])/MAX(HernieVergleich[[#This Row],[Anzahl KH1]],HernieVergleich[[#This Row],[Anzahl KH2]]))</f>
        <v>1</v>
      </c>
      <c r="Q37" s="7" t="str">
        <f>IF(MIN(HernieVergleich[[#This Row],[Anzahl KH1]],HernieVergleich[[#This Row],[Anzahl KH2]])=0,"∞",MAX(HernieVergleich[[#This Row],[Anzahl KH1]],HernieVergleich[[#This Row],[Anzahl KH2]])/MIN(HernieVergleich[[#This Row],[Anzahl KH1]],HernieVergleich[[#This Row],[Anzahl KH2]]))</f>
        <v>∞</v>
      </c>
      <c r="R37" s="7">
        <f>ABS(HernieVergleich[[#This Row],[Anzahl KH1]]-HernieVergleich[[#This Row],[Anzahl KH2]])*0.4</f>
        <v>4.8000000000000007</v>
      </c>
    </row>
    <row r="38" spans="1:18" x14ac:dyDescent="0.3">
      <c r="A38" s="4" t="str">
        <v>Blutgruppenantikörper-Screening</v>
      </c>
      <c r="B38" t="str" cm="1">
        <f t="array" ref="B38">_xlfn.XLOOKUP(A38,TRIM(DatenHernie[Art der Leistung]),DatenHernie[Kategorie (Labor, Rad, Lunge, EKG)],"")</f>
        <v>Laborleistungen</v>
      </c>
      <c r="C38" s="7" t="str" cm="1">
        <f t="array" ref="C38">_xlfn.XLOOKUP(A38,TRIM(DatenHernie[Art der Leistung]),DatenHernie[Operationsart],"")</f>
        <v>Hernie</v>
      </c>
      <c r="D38" s="7">
        <f>SUMIFS(DatenHernie[Anzahl],DatenHernie[Art der Leistung],$A38,DatenHernie[Kategorie (Labor, Rad, Lunge, EKG)],$B38,DatenHernie[Operationsart],$C38,DatenHernie[KH],"KH 1")</f>
        <v>9</v>
      </c>
      <c r="E38" s="7">
        <f>SUMIFS(DatenHernie[Anzahl],DatenHernie[Art der Leistung],$A38,DatenHernie[Kategorie (Labor, Rad, Lunge, EKG)],$B38,DatenHernie[Operationsart],$C38,DatenHernie[KH],"KH 2")</f>
        <v>0</v>
      </c>
      <c r="F38" s="10">
        <f t="shared" si="0"/>
        <v>9</v>
      </c>
      <c r="I38" s="14" t="s">
        <v>39</v>
      </c>
      <c r="J38" t="s">
        <v>7</v>
      </c>
      <c r="K38" s="7" t="s">
        <v>8</v>
      </c>
      <c r="L38" s="7">
        <v>11</v>
      </c>
      <c r="M38" s="7">
        <v>0</v>
      </c>
      <c r="N38" s="7">
        <f>AVERAGE(HernieVergleich[[#This Row],[Anzahl KH1]],HernieVergleich[[#This Row],[Anzahl KH2]])</f>
        <v>5.5</v>
      </c>
      <c r="O38" s="7">
        <f>ABS(HernieVergleich[[#This Row],[Anzahl KH1]]-HernieVergleich[[#This Row],[Anzahl KH2]])</f>
        <v>11</v>
      </c>
      <c r="P38" s="21">
        <f>IF(MAX(HernieVergleich[[#This Row],[Anzahl KH1]],HernieVergleich[[#This Row],[Anzahl KH2]])=0,0,ABS(HernieVergleich[[#This Row],[Anzahl KH1]]-HernieVergleich[[#This Row],[Anzahl KH2]])/MAX(HernieVergleich[[#This Row],[Anzahl KH1]],HernieVergleich[[#This Row],[Anzahl KH2]]))</f>
        <v>1</v>
      </c>
      <c r="Q38" s="7" t="str">
        <f>IF(MIN(HernieVergleich[[#This Row],[Anzahl KH1]],HernieVergleich[[#This Row],[Anzahl KH2]])=0,"∞",MAX(HernieVergleich[[#This Row],[Anzahl KH1]],HernieVergleich[[#This Row],[Anzahl KH2]])/MIN(HernieVergleich[[#This Row],[Anzahl KH1]],HernieVergleich[[#This Row],[Anzahl KH2]]))</f>
        <v>∞</v>
      </c>
      <c r="R38" s="7">
        <f>ABS(HernieVergleich[[#This Row],[Anzahl KH1]]-HernieVergleich[[#This Row],[Anzahl KH2]])*0.4</f>
        <v>4.4000000000000004</v>
      </c>
    </row>
    <row r="39" spans="1:18" x14ac:dyDescent="0.3">
      <c r="A39" s="4" t="str">
        <v>Harnstatus, Sedimentuntersuchung, zentrifugiert</v>
      </c>
      <c r="B39" t="str" cm="1">
        <f t="array" ref="B39">_xlfn.XLOOKUP(A39,TRIM(DatenHernie[Art der Leistung]),DatenHernie[Kategorie (Labor, Rad, Lunge, EKG)],"")</f>
        <v>Laborleistungen</v>
      </c>
      <c r="C39" s="7" t="str" cm="1">
        <f t="array" ref="C39">_xlfn.XLOOKUP(A39,TRIM(DatenHernie[Art der Leistung]),DatenHernie[Operationsart],"")</f>
        <v>Hernie</v>
      </c>
      <c r="D39" s="7">
        <f>SUMIFS(DatenHernie[Anzahl],DatenHernie[Art der Leistung],$A39,DatenHernie[Kategorie (Labor, Rad, Lunge, EKG)],$B39,DatenHernie[Operationsart],$C39,DatenHernie[KH],"KH 1")</f>
        <v>9</v>
      </c>
      <c r="E39" s="7">
        <f>SUMIFS(DatenHernie[Anzahl],DatenHernie[Art der Leistung],$A39,DatenHernie[Kategorie (Labor, Rad, Lunge, EKG)],$B39,DatenHernie[Operationsart],$C39,DatenHernie[KH],"KH 2")</f>
        <v>0</v>
      </c>
      <c r="F39" s="10">
        <f t="shared" si="0"/>
        <v>9</v>
      </c>
      <c r="I39" s="14" t="s">
        <v>75</v>
      </c>
      <c r="J39" t="s">
        <v>63</v>
      </c>
      <c r="K39" s="7" t="s">
        <v>8</v>
      </c>
      <c r="L39" s="7">
        <v>4</v>
      </c>
      <c r="M39" s="7">
        <v>15</v>
      </c>
      <c r="N39" s="7">
        <f>AVERAGE(HernieVergleich[[#This Row],[Anzahl KH1]],HernieVergleich[[#This Row],[Anzahl KH2]])</f>
        <v>9.5</v>
      </c>
      <c r="O39" s="7">
        <f>ABS(HernieVergleich[[#This Row],[Anzahl KH1]]-HernieVergleich[[#This Row],[Anzahl KH2]])</f>
        <v>11</v>
      </c>
      <c r="P39" s="21">
        <f>IF(MAX(HernieVergleich[[#This Row],[Anzahl KH1]],HernieVergleich[[#This Row],[Anzahl KH2]])=0,0,ABS(HernieVergleich[[#This Row],[Anzahl KH1]]-HernieVergleich[[#This Row],[Anzahl KH2]])/MAX(HernieVergleich[[#This Row],[Anzahl KH1]],HernieVergleich[[#This Row],[Anzahl KH2]]))</f>
        <v>0.73333333333333328</v>
      </c>
      <c r="Q39" s="7">
        <f>IF(MIN(HernieVergleich[[#This Row],[Anzahl KH1]],HernieVergleich[[#This Row],[Anzahl KH2]])=0,"∞",MAX(HernieVergleich[[#This Row],[Anzahl KH1]],HernieVergleich[[#This Row],[Anzahl KH2]])/MIN(HernieVergleich[[#This Row],[Anzahl KH1]],HernieVergleich[[#This Row],[Anzahl KH2]]))</f>
        <v>3.75</v>
      </c>
      <c r="R39" s="7">
        <f>ABS(HernieVergleich[[#This Row],[Anzahl KH1]]-HernieVergleich[[#This Row],[Anzahl KH2]])*0.4</f>
        <v>4.4000000000000004</v>
      </c>
    </row>
    <row r="40" spans="1:18" x14ac:dyDescent="0.3">
      <c r="A40" s="4" t="str">
        <v>Phosphorbestimmung</v>
      </c>
      <c r="B40" t="str" cm="1">
        <f t="array" ref="B40">_xlfn.XLOOKUP(A40,TRIM(DatenHernie[Art der Leistung]),DatenHernie[Kategorie (Labor, Rad, Lunge, EKG)],"")</f>
        <v>Laborleistungen</v>
      </c>
      <c r="C40" s="7" t="str" cm="1">
        <f t="array" ref="C40">_xlfn.XLOOKUP(A40,TRIM(DatenHernie[Art der Leistung]),DatenHernie[Operationsart],"")</f>
        <v>Hernie</v>
      </c>
      <c r="D40" s="7">
        <f>SUMIFS(DatenHernie[Anzahl],DatenHernie[Art der Leistung],$A40,DatenHernie[Kategorie (Labor, Rad, Lunge, EKG)],$B40,DatenHernie[Operationsart],$C40,DatenHernie[KH],"KH 1")</f>
        <v>9</v>
      </c>
      <c r="E40" s="7">
        <f>SUMIFS(DatenHernie[Anzahl],DatenHernie[Art der Leistung],$A40,DatenHernie[Kategorie (Labor, Rad, Lunge, EKG)],$B40,DatenHernie[Operationsart],$C40,DatenHernie[KH],"KH 2")</f>
        <v>0</v>
      </c>
      <c r="F40" s="10">
        <f t="shared" si="0"/>
        <v>9</v>
      </c>
      <c r="I40" s="14" t="s">
        <v>40</v>
      </c>
      <c r="J40" t="s">
        <v>7</v>
      </c>
      <c r="K40" s="7" t="s">
        <v>8</v>
      </c>
      <c r="L40" s="7">
        <v>10</v>
      </c>
      <c r="M40" s="7">
        <v>0</v>
      </c>
      <c r="N40" s="7">
        <f>AVERAGE(HernieVergleich[[#This Row],[Anzahl KH1]],HernieVergleich[[#This Row],[Anzahl KH2]])</f>
        <v>5</v>
      </c>
      <c r="O40" s="7">
        <f>ABS(HernieVergleich[[#This Row],[Anzahl KH1]]-HernieVergleich[[#This Row],[Anzahl KH2]])</f>
        <v>10</v>
      </c>
      <c r="P40" s="21">
        <f>IF(MAX(HernieVergleich[[#This Row],[Anzahl KH1]],HernieVergleich[[#This Row],[Anzahl KH2]])=0,0,ABS(HernieVergleich[[#This Row],[Anzahl KH1]]-HernieVergleich[[#This Row],[Anzahl KH2]])/MAX(HernieVergleich[[#This Row],[Anzahl KH1]],HernieVergleich[[#This Row],[Anzahl KH2]]))</f>
        <v>1</v>
      </c>
      <c r="Q40" s="7" t="str">
        <f>IF(MIN(HernieVergleich[[#This Row],[Anzahl KH1]],HernieVergleich[[#This Row],[Anzahl KH2]])=0,"∞",MAX(HernieVergleich[[#This Row],[Anzahl KH1]],HernieVergleich[[#This Row],[Anzahl KH2]])/MIN(HernieVergleich[[#This Row],[Anzahl KH1]],HernieVergleich[[#This Row],[Anzahl KH2]]))</f>
        <v>∞</v>
      </c>
      <c r="R40" s="7">
        <f>ABS(HernieVergleich[[#This Row],[Anzahl KH1]]-HernieVergleich[[#This Row],[Anzahl KH2]])*0.4</f>
        <v>4</v>
      </c>
    </row>
    <row r="41" spans="1:18" x14ac:dyDescent="0.3">
      <c r="A41" s="4" t="str">
        <v>Rhesus-Blutgruppenbestimmung</v>
      </c>
      <c r="B41" t="str" cm="1">
        <f t="array" ref="B41">_xlfn.XLOOKUP(A41,TRIM(DatenHernie[Art der Leistung]),DatenHernie[Kategorie (Labor, Rad, Lunge, EKG)],"")</f>
        <v>Laborleistungen</v>
      </c>
      <c r="C41" s="7" t="str" cm="1">
        <f t="array" ref="C41">_xlfn.XLOOKUP(A41,TRIM(DatenHernie[Art der Leistung]),DatenHernie[Operationsart],"")</f>
        <v>Hernie</v>
      </c>
      <c r="D41" s="7">
        <f>SUMIFS(DatenHernie[Anzahl],DatenHernie[Art der Leistung],$A41,DatenHernie[Kategorie (Labor, Rad, Lunge, EKG)],$B41,DatenHernie[Operationsart],$C41,DatenHernie[KH],"KH 1")</f>
        <v>9</v>
      </c>
      <c r="E41" s="7">
        <f>SUMIFS(DatenHernie[Anzahl],DatenHernie[Art der Leistung],$A41,DatenHernie[Kategorie (Labor, Rad, Lunge, EKG)],$B41,DatenHernie[Operationsart],$C41,DatenHernie[KH],"KH 2")</f>
        <v>0</v>
      </c>
      <c r="F41" s="10">
        <f t="shared" si="0"/>
        <v>9</v>
      </c>
      <c r="I41" s="14" t="s">
        <v>42</v>
      </c>
      <c r="J41" t="s">
        <v>7</v>
      </c>
      <c r="K41" s="7" t="s">
        <v>8</v>
      </c>
      <c r="L41" s="7">
        <v>10</v>
      </c>
      <c r="M41" s="7">
        <v>0</v>
      </c>
      <c r="N41" s="7">
        <f>AVERAGE(HernieVergleich[[#This Row],[Anzahl KH1]],HernieVergleich[[#This Row],[Anzahl KH2]])</f>
        <v>5</v>
      </c>
      <c r="O41" s="7">
        <f>ABS(HernieVergleich[[#This Row],[Anzahl KH1]]-HernieVergleich[[#This Row],[Anzahl KH2]])</f>
        <v>10</v>
      </c>
      <c r="P41" s="21">
        <f>IF(MAX(HernieVergleich[[#This Row],[Anzahl KH1]],HernieVergleich[[#This Row],[Anzahl KH2]])=0,0,ABS(HernieVergleich[[#This Row],[Anzahl KH1]]-HernieVergleich[[#This Row],[Anzahl KH2]])/MAX(HernieVergleich[[#This Row],[Anzahl KH1]],HernieVergleich[[#This Row],[Anzahl KH2]]))</f>
        <v>1</v>
      </c>
      <c r="Q41" s="7" t="str">
        <f>IF(MIN(HernieVergleich[[#This Row],[Anzahl KH1]],HernieVergleich[[#This Row],[Anzahl KH2]])=0,"∞",MAX(HernieVergleich[[#This Row],[Anzahl KH1]],HernieVergleich[[#This Row],[Anzahl KH2]])/MIN(HernieVergleich[[#This Row],[Anzahl KH1]],HernieVergleich[[#This Row],[Anzahl KH2]]))</f>
        <v>∞</v>
      </c>
      <c r="R41" s="7">
        <f>ABS(HernieVergleich[[#This Row],[Anzahl KH1]]-HernieVergleich[[#This Row],[Anzahl KH2]])*0.4</f>
        <v>4</v>
      </c>
    </row>
    <row r="42" spans="1:18" x14ac:dyDescent="0.3">
      <c r="A42" s="4" t="str">
        <v>Acetylcholinesterasebestimmung</v>
      </c>
      <c r="B42" t="str" cm="1">
        <f t="array" ref="B42">_xlfn.XLOOKUP(A42,TRIM(DatenHernie[Art der Leistung]),DatenHernie[Kategorie (Labor, Rad, Lunge, EKG)],"")</f>
        <v>Laborleistungen</v>
      </c>
      <c r="C42" s="7" t="str" cm="1">
        <f t="array" ref="C42">_xlfn.XLOOKUP(A42,TRIM(DatenHernie[Art der Leistung]),DatenHernie[Operationsart],"")</f>
        <v>Hernie</v>
      </c>
      <c r="D42" s="7">
        <f>SUMIFS(DatenHernie[Anzahl],DatenHernie[Art der Leistung],$A42,DatenHernie[Kategorie (Labor, Rad, Lunge, EKG)],$B42,DatenHernie[Operationsart],$C42,DatenHernie[KH],"KH 1")</f>
        <v>0</v>
      </c>
      <c r="E42" s="7">
        <f>SUMIFS(DatenHernie[Anzahl],DatenHernie[Art der Leistung],$A42,DatenHernie[Kategorie (Labor, Rad, Lunge, EKG)],$B42,DatenHernie[Operationsart],$C42,DatenHernie[KH],"KH 2")</f>
        <v>70</v>
      </c>
      <c r="F42" s="10">
        <f t="shared" si="0"/>
        <v>70</v>
      </c>
      <c r="I42" s="14" t="s">
        <v>43</v>
      </c>
      <c r="J42" t="s">
        <v>7</v>
      </c>
      <c r="K42" s="7" t="s">
        <v>8</v>
      </c>
      <c r="L42" s="7">
        <v>10</v>
      </c>
      <c r="M42" s="7">
        <v>0</v>
      </c>
      <c r="N42" s="7">
        <f>AVERAGE(HernieVergleich[[#This Row],[Anzahl KH1]],HernieVergleich[[#This Row],[Anzahl KH2]])</f>
        <v>5</v>
      </c>
      <c r="O42" s="7">
        <f>ABS(HernieVergleich[[#This Row],[Anzahl KH1]]-HernieVergleich[[#This Row],[Anzahl KH2]])</f>
        <v>10</v>
      </c>
      <c r="P42" s="21">
        <f>IF(MAX(HernieVergleich[[#This Row],[Anzahl KH1]],HernieVergleich[[#This Row],[Anzahl KH2]])=0,0,ABS(HernieVergleich[[#This Row],[Anzahl KH1]]-HernieVergleich[[#This Row],[Anzahl KH2]])/MAX(HernieVergleich[[#This Row],[Anzahl KH1]],HernieVergleich[[#This Row],[Anzahl KH2]]))</f>
        <v>1</v>
      </c>
      <c r="Q42" s="7" t="str">
        <f>IF(MIN(HernieVergleich[[#This Row],[Anzahl KH1]],HernieVergleich[[#This Row],[Anzahl KH2]])=0,"∞",MAX(HernieVergleich[[#This Row],[Anzahl KH1]],HernieVergleich[[#This Row],[Anzahl KH2]])/MIN(HernieVergleich[[#This Row],[Anzahl KH1]],HernieVergleich[[#This Row],[Anzahl KH2]]))</f>
        <v>∞</v>
      </c>
      <c r="R42" s="7">
        <f>ABS(HernieVergleich[[#This Row],[Anzahl KH1]]-HernieVergleich[[#This Row],[Anzahl KH2]])*0.4</f>
        <v>4</v>
      </c>
    </row>
    <row r="43" spans="1:18" x14ac:dyDescent="0.3">
      <c r="A43" s="4" t="str">
        <v>freies-T4-Bestimmung im Serum</v>
      </c>
      <c r="B43" t="str" cm="1">
        <f t="array" ref="B43">_xlfn.XLOOKUP(A43,TRIM(DatenHernie[Art der Leistung]),DatenHernie[Kategorie (Labor, Rad, Lunge, EKG)],"")</f>
        <v>Laborleistungen</v>
      </c>
      <c r="C43" s="7" t="str" cm="1">
        <f t="array" ref="C43">_xlfn.XLOOKUP(A43,TRIM(DatenHernie[Art der Leistung]),DatenHernie[Operationsart],"")</f>
        <v>Hernie</v>
      </c>
      <c r="D43" s="7">
        <f>SUMIFS(DatenHernie[Anzahl],DatenHernie[Art der Leistung],$A43,DatenHernie[Kategorie (Labor, Rad, Lunge, EKG)],$B43,DatenHernie[Operationsart],$C43,DatenHernie[KH],"KH 1")</f>
        <v>0</v>
      </c>
      <c r="E43" s="7">
        <f>SUMIFS(DatenHernie[Anzahl],DatenHernie[Art der Leistung],$A43,DatenHernie[Kategorie (Labor, Rad, Lunge, EKG)],$B43,DatenHernie[Operationsart],$C43,DatenHernie[KH],"KH 2")</f>
        <v>12</v>
      </c>
      <c r="F43" s="10">
        <f t="shared" si="0"/>
        <v>12</v>
      </c>
      <c r="I43" s="14" t="s">
        <v>53</v>
      </c>
      <c r="J43" t="s">
        <v>7</v>
      </c>
      <c r="K43" s="7" t="s">
        <v>8</v>
      </c>
      <c r="L43" s="7">
        <v>0</v>
      </c>
      <c r="M43" s="7">
        <v>10</v>
      </c>
      <c r="N43" s="7">
        <f>AVERAGE(HernieVergleich[[#This Row],[Anzahl KH1]],HernieVergleich[[#This Row],[Anzahl KH2]])</f>
        <v>5</v>
      </c>
      <c r="O43" s="7">
        <f>ABS(HernieVergleich[[#This Row],[Anzahl KH1]]-HernieVergleich[[#This Row],[Anzahl KH2]])</f>
        <v>10</v>
      </c>
      <c r="P43" s="21">
        <f>IF(MAX(HernieVergleich[[#This Row],[Anzahl KH1]],HernieVergleich[[#This Row],[Anzahl KH2]])=0,0,ABS(HernieVergleich[[#This Row],[Anzahl KH1]]-HernieVergleich[[#This Row],[Anzahl KH2]])/MAX(HernieVergleich[[#This Row],[Anzahl KH1]],HernieVergleich[[#This Row],[Anzahl KH2]]))</f>
        <v>1</v>
      </c>
      <c r="Q43" s="7" t="str">
        <f>IF(MIN(HernieVergleich[[#This Row],[Anzahl KH1]],HernieVergleich[[#This Row],[Anzahl KH2]])=0,"∞",MAX(HernieVergleich[[#This Row],[Anzahl KH1]],HernieVergleich[[#This Row],[Anzahl KH2]])/MIN(HernieVergleich[[#This Row],[Anzahl KH1]],HernieVergleich[[#This Row],[Anzahl KH2]]))</f>
        <v>∞</v>
      </c>
      <c r="R43" s="7">
        <f>ABS(HernieVergleich[[#This Row],[Anzahl KH1]]-HernieVergleich[[#This Row],[Anzahl KH2]])*0.4</f>
        <v>4</v>
      </c>
    </row>
    <row r="44" spans="1:18" x14ac:dyDescent="0.3">
      <c r="A44" s="4" t="str">
        <v>Bestimmung von freiem Triiodthyronin im Serum</v>
      </c>
      <c r="B44" t="str" cm="1">
        <f t="array" ref="B44">_xlfn.XLOOKUP(A44,TRIM(DatenHernie[Art der Leistung]),DatenHernie[Kategorie (Labor, Rad, Lunge, EKG)],"")</f>
        <v>Laborleistungen</v>
      </c>
      <c r="C44" s="7" t="str" cm="1">
        <f t="array" ref="C44">_xlfn.XLOOKUP(A44,TRIM(DatenHernie[Art der Leistung]),DatenHernie[Operationsart],"")</f>
        <v>Hernie</v>
      </c>
      <c r="D44" s="7">
        <f>SUMIFS(DatenHernie[Anzahl],DatenHernie[Art der Leistung],$A44,DatenHernie[Kategorie (Labor, Rad, Lunge, EKG)],$B44,DatenHernie[Operationsart],$C44,DatenHernie[KH],"KH 1")</f>
        <v>0</v>
      </c>
      <c r="E44" s="7">
        <f>SUMIFS(DatenHernie[Anzahl],DatenHernie[Art der Leistung],$A44,DatenHernie[Kategorie (Labor, Rad, Lunge, EKG)],$B44,DatenHernie[Operationsart],$C44,DatenHernie[KH],"KH 2")</f>
        <v>12</v>
      </c>
      <c r="F44" s="10">
        <f t="shared" si="0"/>
        <v>12</v>
      </c>
      <c r="I44" s="14" t="s">
        <v>64</v>
      </c>
      <c r="J44" t="s">
        <v>63</v>
      </c>
      <c r="K44" s="7" t="s">
        <v>8</v>
      </c>
      <c r="L44" s="7">
        <v>12</v>
      </c>
      <c r="M44" s="7">
        <v>2</v>
      </c>
      <c r="N44" s="7">
        <f>AVERAGE(HernieVergleich[[#This Row],[Anzahl KH1]],HernieVergleich[[#This Row],[Anzahl KH2]])</f>
        <v>7</v>
      </c>
      <c r="O44" s="7">
        <f>ABS(HernieVergleich[[#This Row],[Anzahl KH1]]-HernieVergleich[[#This Row],[Anzahl KH2]])</f>
        <v>10</v>
      </c>
      <c r="P44" s="21">
        <f>IF(MAX(HernieVergleich[[#This Row],[Anzahl KH1]],HernieVergleich[[#This Row],[Anzahl KH2]])=0,0,ABS(HernieVergleich[[#This Row],[Anzahl KH1]]-HernieVergleich[[#This Row],[Anzahl KH2]])/MAX(HernieVergleich[[#This Row],[Anzahl KH1]],HernieVergleich[[#This Row],[Anzahl KH2]]))</f>
        <v>0.83333333333333337</v>
      </c>
      <c r="Q44" s="7">
        <f>IF(MIN(HernieVergleich[[#This Row],[Anzahl KH1]],HernieVergleich[[#This Row],[Anzahl KH2]])=0,"∞",MAX(HernieVergleich[[#This Row],[Anzahl KH1]],HernieVergleich[[#This Row],[Anzahl KH2]])/MIN(HernieVergleich[[#This Row],[Anzahl KH1]],HernieVergleich[[#This Row],[Anzahl KH2]]))</f>
        <v>6</v>
      </c>
      <c r="R44" s="7">
        <f>ABS(HernieVergleich[[#This Row],[Anzahl KH1]]-HernieVergleich[[#This Row],[Anzahl KH2]])*0.4</f>
        <v>4</v>
      </c>
    </row>
    <row r="45" spans="1:18" x14ac:dyDescent="0.3">
      <c r="A45" s="4" t="str">
        <v>Hämoglobin-A1c-Bestimmung</v>
      </c>
      <c r="B45" t="str" cm="1">
        <f t="array" ref="B45">_xlfn.XLOOKUP(A45,TRIM(DatenHernie[Art der Leistung]),DatenHernie[Kategorie (Labor, Rad, Lunge, EKG)],"")</f>
        <v>Laborleistungen</v>
      </c>
      <c r="C45" s="7" t="str" cm="1">
        <f t="array" ref="C45">_xlfn.XLOOKUP(A45,TRIM(DatenHernie[Art der Leistung]),DatenHernie[Operationsart],"")</f>
        <v>Hernie</v>
      </c>
      <c r="D45" s="7">
        <f>SUMIFS(DatenHernie[Anzahl],DatenHernie[Art der Leistung],$A45,DatenHernie[Kategorie (Labor, Rad, Lunge, EKG)],$B45,DatenHernie[Operationsart],$C45,DatenHernie[KH],"KH 1")</f>
        <v>0</v>
      </c>
      <c r="E45" s="7">
        <f>SUMIFS(DatenHernie[Anzahl],DatenHernie[Art der Leistung],$A45,DatenHernie[Kategorie (Labor, Rad, Lunge, EKG)],$B45,DatenHernie[Operationsart],$C45,DatenHernie[KH],"KH 2")</f>
        <v>10</v>
      </c>
      <c r="F45" s="10">
        <f t="shared" si="0"/>
        <v>10</v>
      </c>
      <c r="I45" s="14" t="s">
        <v>44</v>
      </c>
      <c r="J45" t="s">
        <v>7</v>
      </c>
      <c r="K45" s="7" t="s">
        <v>8</v>
      </c>
      <c r="L45" s="7">
        <v>9</v>
      </c>
      <c r="M45" s="7">
        <v>0</v>
      </c>
      <c r="N45" s="7">
        <f>AVERAGE(HernieVergleich[[#This Row],[Anzahl KH1]],HernieVergleich[[#This Row],[Anzahl KH2]])</f>
        <v>4.5</v>
      </c>
      <c r="O45" s="7">
        <f>ABS(HernieVergleich[[#This Row],[Anzahl KH1]]-HernieVergleich[[#This Row],[Anzahl KH2]])</f>
        <v>9</v>
      </c>
      <c r="P45" s="21">
        <f>IF(MAX(HernieVergleich[[#This Row],[Anzahl KH1]],HernieVergleich[[#This Row],[Anzahl KH2]])=0,0,ABS(HernieVergleich[[#This Row],[Anzahl KH1]]-HernieVergleich[[#This Row],[Anzahl KH2]])/MAX(HernieVergleich[[#This Row],[Anzahl KH1]],HernieVergleich[[#This Row],[Anzahl KH2]]))</f>
        <v>1</v>
      </c>
      <c r="Q45" s="7" t="str">
        <f>IF(MIN(HernieVergleich[[#This Row],[Anzahl KH1]],HernieVergleich[[#This Row],[Anzahl KH2]])=0,"∞",MAX(HernieVergleich[[#This Row],[Anzahl KH1]],HernieVergleich[[#This Row],[Anzahl KH2]])/MIN(HernieVergleich[[#This Row],[Anzahl KH1]],HernieVergleich[[#This Row],[Anzahl KH2]]))</f>
        <v>∞</v>
      </c>
      <c r="R45" s="7">
        <f>ABS(HernieVergleich[[#This Row],[Anzahl KH1]]-HernieVergleich[[#This Row],[Anzahl KH2]])*0.4</f>
        <v>3.6</v>
      </c>
    </row>
    <row r="46" spans="1:18" x14ac:dyDescent="0.3">
      <c r="A46" s="4" t="str">
        <v>Bestimmung von konjugiertem Bilirubin im Plasma</v>
      </c>
      <c r="B46" t="str" cm="1">
        <f t="array" ref="B46">_xlfn.XLOOKUP(A46,TRIM(DatenHernie[Art der Leistung]),DatenHernie[Kategorie (Labor, Rad, Lunge, EKG)],"")</f>
        <v>Laborleistungen</v>
      </c>
      <c r="C46" s="7" t="str" cm="1">
        <f t="array" ref="C46">_xlfn.XLOOKUP(A46,TRIM(DatenHernie[Art der Leistung]),DatenHernie[Operationsart],"")</f>
        <v>Hernie</v>
      </c>
      <c r="D46" s="7">
        <f>SUMIFS(DatenHernie[Anzahl],DatenHernie[Art der Leistung],$A46,DatenHernie[Kategorie (Labor, Rad, Lunge, EKG)],$B46,DatenHernie[Operationsart],$C46,DatenHernie[KH],"KH 1")</f>
        <v>0</v>
      </c>
      <c r="E46" s="7">
        <f>SUMIFS(DatenHernie[Anzahl],DatenHernie[Art der Leistung],$A46,DatenHernie[Kategorie (Labor, Rad, Lunge, EKG)],$B46,DatenHernie[Operationsart],$C46,DatenHernie[KH],"KH 2")</f>
        <v>8</v>
      </c>
      <c r="F46" s="10">
        <f t="shared" si="0"/>
        <v>8</v>
      </c>
      <c r="I46" s="14" t="s">
        <v>45</v>
      </c>
      <c r="J46" t="s">
        <v>7</v>
      </c>
      <c r="K46" s="7" t="s">
        <v>8</v>
      </c>
      <c r="L46" s="7">
        <v>9</v>
      </c>
      <c r="M46" s="7">
        <v>0</v>
      </c>
      <c r="N46" s="7">
        <f>AVERAGE(HernieVergleich[[#This Row],[Anzahl KH1]],HernieVergleich[[#This Row],[Anzahl KH2]])</f>
        <v>4.5</v>
      </c>
      <c r="O46" s="7">
        <f>ABS(HernieVergleich[[#This Row],[Anzahl KH1]]-HernieVergleich[[#This Row],[Anzahl KH2]])</f>
        <v>9</v>
      </c>
      <c r="P46" s="21">
        <f>IF(MAX(HernieVergleich[[#This Row],[Anzahl KH1]],HernieVergleich[[#This Row],[Anzahl KH2]])=0,0,ABS(HernieVergleich[[#This Row],[Anzahl KH1]]-HernieVergleich[[#This Row],[Anzahl KH2]])/MAX(HernieVergleich[[#This Row],[Anzahl KH1]],HernieVergleich[[#This Row],[Anzahl KH2]]))</f>
        <v>1</v>
      </c>
      <c r="Q46" s="7" t="str">
        <f>IF(MIN(HernieVergleich[[#This Row],[Anzahl KH1]],HernieVergleich[[#This Row],[Anzahl KH2]])=0,"∞",MAX(HernieVergleich[[#This Row],[Anzahl KH1]],HernieVergleich[[#This Row],[Anzahl KH2]])/MIN(HernieVergleich[[#This Row],[Anzahl KH1]],HernieVergleich[[#This Row],[Anzahl KH2]]))</f>
        <v>∞</v>
      </c>
      <c r="R46" s="7">
        <f>ABS(HernieVergleich[[#This Row],[Anzahl KH1]]-HernieVergleich[[#This Row],[Anzahl KH2]])*0.4</f>
        <v>3.6</v>
      </c>
    </row>
    <row r="47" spans="1:18" x14ac:dyDescent="0.3">
      <c r="A47" s="4" t="str">
        <v>Bestimmung von unkonjugiertem Bilirubin im Plasma</v>
      </c>
      <c r="B47" t="str" cm="1">
        <f t="array" ref="B47">_xlfn.XLOOKUP(A47,TRIM(DatenHernie[Art der Leistung]),DatenHernie[Kategorie (Labor, Rad, Lunge, EKG)],"")</f>
        <v>Laborleistungen</v>
      </c>
      <c r="C47" s="7" t="str" cm="1">
        <f t="array" ref="C47">_xlfn.XLOOKUP(A47,TRIM(DatenHernie[Art der Leistung]),DatenHernie[Operationsart],"")</f>
        <v>Hernie</v>
      </c>
      <c r="D47" s="7">
        <f>SUMIFS(DatenHernie[Anzahl],DatenHernie[Art der Leistung],$A47,DatenHernie[Kategorie (Labor, Rad, Lunge, EKG)],$B47,DatenHernie[Operationsart],$C47,DatenHernie[KH],"KH 1")</f>
        <v>0</v>
      </c>
      <c r="E47" s="7">
        <f>SUMIFS(DatenHernie[Anzahl],DatenHernie[Art der Leistung],$A47,DatenHernie[Kategorie (Labor, Rad, Lunge, EKG)],$B47,DatenHernie[Operationsart],$C47,DatenHernie[KH],"KH 2")</f>
        <v>8</v>
      </c>
      <c r="F47" s="10">
        <f t="shared" si="0"/>
        <v>8</v>
      </c>
      <c r="I47" s="14" t="s">
        <v>46</v>
      </c>
      <c r="J47" t="s">
        <v>7</v>
      </c>
      <c r="K47" s="7" t="s">
        <v>8</v>
      </c>
      <c r="L47" s="7">
        <v>9</v>
      </c>
      <c r="M47" s="7">
        <v>0</v>
      </c>
      <c r="N47" s="7">
        <f>AVERAGE(HernieVergleich[[#This Row],[Anzahl KH1]],HernieVergleich[[#This Row],[Anzahl KH2]])</f>
        <v>4.5</v>
      </c>
      <c r="O47" s="7">
        <f>ABS(HernieVergleich[[#This Row],[Anzahl KH1]]-HernieVergleich[[#This Row],[Anzahl KH2]])</f>
        <v>9</v>
      </c>
      <c r="P47" s="21">
        <f>IF(MAX(HernieVergleich[[#This Row],[Anzahl KH1]],HernieVergleich[[#This Row],[Anzahl KH2]])=0,0,ABS(HernieVergleich[[#This Row],[Anzahl KH1]]-HernieVergleich[[#This Row],[Anzahl KH2]])/MAX(HernieVergleich[[#This Row],[Anzahl KH1]],HernieVergleich[[#This Row],[Anzahl KH2]]))</f>
        <v>1</v>
      </c>
      <c r="Q47" s="7" t="str">
        <f>IF(MIN(HernieVergleich[[#This Row],[Anzahl KH1]],HernieVergleich[[#This Row],[Anzahl KH2]])=0,"∞",MAX(HernieVergleich[[#This Row],[Anzahl KH1]],HernieVergleich[[#This Row],[Anzahl KH2]])/MIN(HernieVergleich[[#This Row],[Anzahl KH1]],HernieVergleich[[#This Row],[Anzahl KH2]]))</f>
        <v>∞</v>
      </c>
      <c r="R47" s="7">
        <f>ABS(HernieVergleich[[#This Row],[Anzahl KH1]]-HernieVergleich[[#This Row],[Anzahl KH2]])*0.4</f>
        <v>3.6</v>
      </c>
    </row>
    <row r="48" spans="1:18" x14ac:dyDescent="0.3">
      <c r="A48" s="4" t="str">
        <v>Hämodialyse</v>
      </c>
      <c r="B48" t="str" cm="1">
        <f t="array" ref="B48">_xlfn.XLOOKUP(A48,TRIM(DatenHernie[Art der Leistung]),DatenHernie[Kategorie (Labor, Rad, Lunge, EKG)],"")</f>
        <v>Laborleistungen</v>
      </c>
      <c r="C48" s="7" t="str" cm="1">
        <f t="array" ref="C48">_xlfn.XLOOKUP(A48,TRIM(DatenHernie[Art der Leistung]),DatenHernie[Operationsart],"")</f>
        <v>Hernie</v>
      </c>
      <c r="D48" s="7">
        <f>SUMIFS(DatenHernie[Anzahl],DatenHernie[Art der Leistung],$A48,DatenHernie[Kategorie (Labor, Rad, Lunge, EKG)],$B48,DatenHernie[Operationsart],$C48,DatenHernie[KH],"KH 1")</f>
        <v>0</v>
      </c>
      <c r="E48" s="7">
        <f>SUMIFS(DatenHernie[Anzahl],DatenHernie[Art der Leistung],$A48,DatenHernie[Kategorie (Labor, Rad, Lunge, EKG)],$B48,DatenHernie[Operationsart],$C48,DatenHernie[KH],"KH 2")</f>
        <v>4</v>
      </c>
      <c r="F48" s="10">
        <f t="shared" si="0"/>
        <v>4</v>
      </c>
      <c r="I48" s="14" t="s">
        <v>47</v>
      </c>
      <c r="J48" t="s">
        <v>7</v>
      </c>
      <c r="K48" s="7" t="s">
        <v>8</v>
      </c>
      <c r="L48" s="7">
        <v>9</v>
      </c>
      <c r="M48" s="7">
        <v>0</v>
      </c>
      <c r="N48" s="7">
        <f>AVERAGE(HernieVergleich[[#This Row],[Anzahl KH1]],HernieVergleich[[#This Row],[Anzahl KH2]])</f>
        <v>4.5</v>
      </c>
      <c r="O48" s="7">
        <f>ABS(HernieVergleich[[#This Row],[Anzahl KH1]]-HernieVergleich[[#This Row],[Anzahl KH2]])</f>
        <v>9</v>
      </c>
      <c r="P48" s="21">
        <f>IF(MAX(HernieVergleich[[#This Row],[Anzahl KH1]],HernieVergleich[[#This Row],[Anzahl KH2]])=0,0,ABS(HernieVergleich[[#This Row],[Anzahl KH1]]-HernieVergleich[[#This Row],[Anzahl KH2]])/MAX(HernieVergleich[[#This Row],[Anzahl KH1]],HernieVergleich[[#This Row],[Anzahl KH2]]))</f>
        <v>1</v>
      </c>
      <c r="Q48" s="7" t="str">
        <f>IF(MIN(HernieVergleich[[#This Row],[Anzahl KH1]],HernieVergleich[[#This Row],[Anzahl KH2]])=0,"∞",MAX(HernieVergleich[[#This Row],[Anzahl KH1]],HernieVergleich[[#This Row],[Anzahl KH2]])/MIN(HernieVergleich[[#This Row],[Anzahl KH1]],HernieVergleich[[#This Row],[Anzahl KH2]]))</f>
        <v>∞</v>
      </c>
      <c r="R48" s="7">
        <f>ABS(HernieVergleich[[#This Row],[Anzahl KH1]]-HernieVergleich[[#This Row],[Anzahl KH2]])*0.4</f>
        <v>3.6</v>
      </c>
    </row>
    <row r="49" spans="1:18" x14ac:dyDescent="0.3">
      <c r="A49" s="4" t="str">
        <v>Blutgruppentypisierung, Rh-Phänotypisierung, großes E</v>
      </c>
      <c r="B49" t="str" cm="1">
        <f t="array" ref="B49">_xlfn.XLOOKUP(A49,TRIM(DatenHernie[Art der Leistung]),DatenHernie[Kategorie (Labor, Rad, Lunge, EKG)],"")</f>
        <v>Laborleistungen</v>
      </c>
      <c r="C49" s="7" t="str" cm="1">
        <f t="array" ref="C49">_xlfn.XLOOKUP(A49,TRIM(DatenHernie[Art der Leistung]),DatenHernie[Operationsart],"")</f>
        <v>Hernie</v>
      </c>
      <c r="D49" s="7">
        <f>SUMIFS(DatenHernie[Anzahl],DatenHernie[Art der Leistung],$A49,DatenHernie[Kategorie (Labor, Rad, Lunge, EKG)],$B49,DatenHernie[Operationsart],$C49,DatenHernie[KH],"KH 1")</f>
        <v>0</v>
      </c>
      <c r="E49" s="7">
        <f>SUMIFS(DatenHernie[Anzahl],DatenHernie[Art der Leistung],$A49,DatenHernie[Kategorie (Labor, Rad, Lunge, EKG)],$B49,DatenHernie[Operationsart],$C49,DatenHernie[KH],"KH 2")</f>
        <v>3</v>
      </c>
      <c r="F49" s="10">
        <f t="shared" si="0"/>
        <v>3</v>
      </c>
      <c r="I49" s="14" t="s">
        <v>48</v>
      </c>
      <c r="J49" t="s">
        <v>7</v>
      </c>
      <c r="K49" s="7" t="s">
        <v>8</v>
      </c>
      <c r="L49" s="7">
        <v>9</v>
      </c>
      <c r="M49" s="7">
        <v>0</v>
      </c>
      <c r="N49" s="7">
        <f>AVERAGE(HernieVergleich[[#This Row],[Anzahl KH1]],HernieVergleich[[#This Row],[Anzahl KH2]])</f>
        <v>4.5</v>
      </c>
      <c r="O49" s="7">
        <f>ABS(HernieVergleich[[#This Row],[Anzahl KH1]]-HernieVergleich[[#This Row],[Anzahl KH2]])</f>
        <v>9</v>
      </c>
      <c r="P49" s="21">
        <f>IF(MAX(HernieVergleich[[#This Row],[Anzahl KH1]],HernieVergleich[[#This Row],[Anzahl KH2]])=0,0,ABS(HernieVergleich[[#This Row],[Anzahl KH1]]-HernieVergleich[[#This Row],[Anzahl KH2]])/MAX(HernieVergleich[[#This Row],[Anzahl KH1]],HernieVergleich[[#This Row],[Anzahl KH2]]))</f>
        <v>1</v>
      </c>
      <c r="Q49" s="7" t="str">
        <f>IF(MIN(HernieVergleich[[#This Row],[Anzahl KH1]],HernieVergleich[[#This Row],[Anzahl KH2]])=0,"∞",MAX(HernieVergleich[[#This Row],[Anzahl KH1]],HernieVergleich[[#This Row],[Anzahl KH2]])/MIN(HernieVergleich[[#This Row],[Anzahl KH1]],HernieVergleich[[#This Row],[Anzahl KH2]]))</f>
        <v>∞</v>
      </c>
      <c r="R49" s="7">
        <f>ABS(HernieVergleich[[#This Row],[Anzahl KH1]]-HernieVergleich[[#This Row],[Anzahl KH2]])*0.4</f>
        <v>3.6</v>
      </c>
    </row>
    <row r="50" spans="1:18" x14ac:dyDescent="0.3">
      <c r="A50" s="4" t="str">
        <v>Bestimmung des carcinoembryonalen Antigens</v>
      </c>
      <c r="B50" t="str" cm="1">
        <f t="array" ref="B50">_xlfn.XLOOKUP(A50,TRIM(DatenHernie[Art der Leistung]),DatenHernie[Kategorie (Labor, Rad, Lunge, EKG)],"")</f>
        <v>Laborleistungen</v>
      </c>
      <c r="C50" s="7" t="str" cm="1">
        <f t="array" ref="C50">_xlfn.XLOOKUP(A50,TRIM(DatenHernie[Art der Leistung]),DatenHernie[Operationsart],"")</f>
        <v>Hernie</v>
      </c>
      <c r="D50" s="7">
        <f>SUMIFS(DatenHernie[Anzahl],DatenHernie[Art der Leistung],$A50,DatenHernie[Kategorie (Labor, Rad, Lunge, EKG)],$B50,DatenHernie[Operationsart],$C50,DatenHernie[KH],"KH 1")</f>
        <v>0</v>
      </c>
      <c r="E50" s="7">
        <f>SUMIFS(DatenHernie[Anzahl],DatenHernie[Art der Leistung],$A50,DatenHernie[Kategorie (Labor, Rad, Lunge, EKG)],$B50,DatenHernie[Operationsart],$C50,DatenHernie[KH],"KH 2")</f>
        <v>2</v>
      </c>
      <c r="F50" s="10">
        <f t="shared" si="0"/>
        <v>2</v>
      </c>
      <c r="I50" s="14" t="s">
        <v>54</v>
      </c>
      <c r="J50" t="s">
        <v>7</v>
      </c>
      <c r="K50" s="7" t="s">
        <v>8</v>
      </c>
      <c r="L50" s="7">
        <v>0</v>
      </c>
      <c r="M50" s="7">
        <v>8</v>
      </c>
      <c r="N50" s="7">
        <f>AVERAGE(HernieVergleich[[#This Row],[Anzahl KH1]],HernieVergleich[[#This Row],[Anzahl KH2]])</f>
        <v>4</v>
      </c>
      <c r="O50" s="7">
        <f>ABS(HernieVergleich[[#This Row],[Anzahl KH1]]-HernieVergleich[[#This Row],[Anzahl KH2]])</f>
        <v>8</v>
      </c>
      <c r="P50" s="21">
        <f>IF(MAX(HernieVergleich[[#This Row],[Anzahl KH1]],HernieVergleich[[#This Row],[Anzahl KH2]])=0,0,ABS(HernieVergleich[[#This Row],[Anzahl KH1]]-HernieVergleich[[#This Row],[Anzahl KH2]])/MAX(HernieVergleich[[#This Row],[Anzahl KH1]],HernieVergleich[[#This Row],[Anzahl KH2]]))</f>
        <v>1</v>
      </c>
      <c r="Q50" s="7" t="str">
        <f>IF(MIN(HernieVergleich[[#This Row],[Anzahl KH1]],HernieVergleich[[#This Row],[Anzahl KH2]])=0,"∞",MAX(HernieVergleich[[#This Row],[Anzahl KH1]],HernieVergleich[[#This Row],[Anzahl KH2]])/MIN(HernieVergleich[[#This Row],[Anzahl KH1]],HernieVergleich[[#This Row],[Anzahl KH2]]))</f>
        <v>∞</v>
      </c>
      <c r="R50" s="7">
        <f>ABS(HernieVergleich[[#This Row],[Anzahl KH1]]-HernieVergleich[[#This Row],[Anzahl KH2]])*0.4</f>
        <v>3.2</v>
      </c>
    </row>
    <row r="51" spans="1:18" x14ac:dyDescent="0.3">
      <c r="A51" s="4" t="str">
        <v>Triglyceridbestimmung</v>
      </c>
      <c r="B51" t="str" cm="1">
        <f t="array" ref="B51">_xlfn.XLOOKUP(A51,TRIM(DatenHernie[Art der Leistung]),DatenHernie[Kategorie (Labor, Rad, Lunge, EKG)],"")</f>
        <v>Laborleistungen</v>
      </c>
      <c r="C51" s="7" t="str" cm="1">
        <f t="array" ref="C51">_xlfn.XLOOKUP(A51,TRIM(DatenHernie[Art der Leistung]),DatenHernie[Operationsart],"")</f>
        <v>Hernie</v>
      </c>
      <c r="D51" s="7">
        <f>SUMIFS(DatenHernie[Anzahl],DatenHernie[Art der Leistung],$A51,DatenHernie[Kategorie (Labor, Rad, Lunge, EKG)],$B51,DatenHernie[Operationsart],$C51,DatenHernie[KH],"KH 1")</f>
        <v>0</v>
      </c>
      <c r="E51" s="7">
        <f>SUMIFS(DatenHernie[Anzahl],DatenHernie[Art der Leistung],$A51,DatenHernie[Kategorie (Labor, Rad, Lunge, EKG)],$B51,DatenHernie[Operationsart],$C51,DatenHernie[KH],"KH 2")</f>
        <v>2</v>
      </c>
      <c r="F51" s="10">
        <f t="shared" si="0"/>
        <v>2</v>
      </c>
      <c r="I51" s="14" t="s">
        <v>55</v>
      </c>
      <c r="J51" t="s">
        <v>7</v>
      </c>
      <c r="K51" s="7" t="s">
        <v>8</v>
      </c>
      <c r="L51" s="7">
        <v>0</v>
      </c>
      <c r="M51" s="7">
        <v>8</v>
      </c>
      <c r="N51" s="7">
        <f>AVERAGE(HernieVergleich[[#This Row],[Anzahl KH1]],HernieVergleich[[#This Row],[Anzahl KH2]])</f>
        <v>4</v>
      </c>
      <c r="O51" s="7">
        <f>ABS(HernieVergleich[[#This Row],[Anzahl KH1]]-HernieVergleich[[#This Row],[Anzahl KH2]])</f>
        <v>8</v>
      </c>
      <c r="P51" s="21">
        <f>IF(MAX(HernieVergleich[[#This Row],[Anzahl KH1]],HernieVergleich[[#This Row],[Anzahl KH2]])=0,0,ABS(HernieVergleich[[#This Row],[Anzahl KH1]]-HernieVergleich[[#This Row],[Anzahl KH2]])/MAX(HernieVergleich[[#This Row],[Anzahl KH1]],HernieVergleich[[#This Row],[Anzahl KH2]]))</f>
        <v>1</v>
      </c>
      <c r="Q51" s="7" t="str">
        <f>IF(MIN(HernieVergleich[[#This Row],[Anzahl KH1]],HernieVergleich[[#This Row],[Anzahl KH2]])=0,"∞",MAX(HernieVergleich[[#This Row],[Anzahl KH1]],HernieVergleich[[#This Row],[Anzahl KH2]])/MIN(HernieVergleich[[#This Row],[Anzahl KH1]],HernieVergleich[[#This Row],[Anzahl KH2]]))</f>
        <v>∞</v>
      </c>
      <c r="R51" s="7">
        <f>ABS(HernieVergleich[[#This Row],[Anzahl KH1]]-HernieVergleich[[#This Row],[Anzahl KH2]])*0.4</f>
        <v>3.2</v>
      </c>
    </row>
    <row r="52" spans="1:18" x14ac:dyDescent="0.3">
      <c r="A52" s="4" t="str">
        <v>Messung der Konzentration von prostataspezifischem Antigen (psa)</v>
      </c>
      <c r="B52" t="str" cm="1">
        <f t="array" ref="B52">_xlfn.XLOOKUP(A52,TRIM(DatenHernie[Art der Leistung]),DatenHernie[Kategorie (Labor, Rad, Lunge, EKG)],"")</f>
        <v>Laborleistungen</v>
      </c>
      <c r="C52" s="7" t="str" cm="1">
        <f t="array" ref="C52">_xlfn.XLOOKUP(A52,TRIM(DatenHernie[Art der Leistung]),DatenHernie[Operationsart],"")</f>
        <v>Hernie</v>
      </c>
      <c r="D52" s="7">
        <f>SUMIFS(DatenHernie[Anzahl],DatenHernie[Art der Leistung],$A52,DatenHernie[Kategorie (Labor, Rad, Lunge, EKG)],$B52,DatenHernie[Operationsart],$C52,DatenHernie[KH],"KH 1")</f>
        <v>0</v>
      </c>
      <c r="E52" s="7">
        <f>SUMIFS(DatenHernie[Anzahl],DatenHernie[Art der Leistung],$A52,DatenHernie[Kategorie (Labor, Rad, Lunge, EKG)],$B52,DatenHernie[Operationsart],$C52,DatenHernie[KH],"KH 2")</f>
        <v>2</v>
      </c>
      <c r="F52" s="10">
        <f t="shared" si="0"/>
        <v>2</v>
      </c>
      <c r="I52" s="14" t="s">
        <v>65</v>
      </c>
      <c r="J52" t="s">
        <v>63</v>
      </c>
      <c r="K52" s="7" t="s">
        <v>8</v>
      </c>
      <c r="L52" s="7">
        <v>6</v>
      </c>
      <c r="M52" s="7">
        <v>0</v>
      </c>
      <c r="N52" s="7">
        <f>AVERAGE(HernieVergleich[[#This Row],[Anzahl KH1]],HernieVergleich[[#This Row],[Anzahl KH2]])</f>
        <v>3</v>
      </c>
      <c r="O52" s="7">
        <f>ABS(HernieVergleich[[#This Row],[Anzahl KH1]]-HernieVergleich[[#This Row],[Anzahl KH2]])</f>
        <v>6</v>
      </c>
      <c r="P52" s="21">
        <f>IF(MAX(HernieVergleich[[#This Row],[Anzahl KH1]],HernieVergleich[[#This Row],[Anzahl KH2]])=0,0,ABS(HernieVergleich[[#This Row],[Anzahl KH1]]-HernieVergleich[[#This Row],[Anzahl KH2]])/MAX(HernieVergleich[[#This Row],[Anzahl KH1]],HernieVergleich[[#This Row],[Anzahl KH2]]))</f>
        <v>1</v>
      </c>
      <c r="Q52" s="7" t="str">
        <f>IF(MIN(HernieVergleich[[#This Row],[Anzahl KH1]],HernieVergleich[[#This Row],[Anzahl KH2]])=0,"∞",MAX(HernieVergleich[[#This Row],[Anzahl KH1]],HernieVergleich[[#This Row],[Anzahl KH2]])/MIN(HernieVergleich[[#This Row],[Anzahl KH1]],HernieVergleich[[#This Row],[Anzahl KH2]]))</f>
        <v>∞</v>
      </c>
      <c r="R52" s="7">
        <f>ABS(HernieVergleich[[#This Row],[Anzahl KH1]]-HernieVergleich[[#This Row],[Anzahl KH2]])*0.4</f>
        <v>2.4000000000000004</v>
      </c>
    </row>
    <row r="53" spans="1:18" x14ac:dyDescent="0.3">
      <c r="A53" s="4" t="str">
        <v>High-density-Lipoprotein-Cholesterinbestimmung</v>
      </c>
      <c r="B53" t="str" cm="1">
        <f t="array" ref="B53">_xlfn.XLOOKUP(A53,TRIM(DatenHernie[Art der Leistung]),DatenHernie[Kategorie (Labor, Rad, Lunge, EKG)],"")</f>
        <v>Laborleistungen</v>
      </c>
      <c r="C53" s="7" t="str" cm="1">
        <f t="array" ref="C53">_xlfn.XLOOKUP(A53,TRIM(DatenHernie[Art der Leistung]),DatenHernie[Operationsart],"")</f>
        <v>Hernie</v>
      </c>
      <c r="D53" s="7">
        <f>SUMIFS(DatenHernie[Anzahl],DatenHernie[Art der Leistung],$A53,DatenHernie[Kategorie (Labor, Rad, Lunge, EKG)],$B53,DatenHernie[Operationsart],$C53,DatenHernie[KH],"KH 1")</f>
        <v>0</v>
      </c>
      <c r="E53" s="7">
        <f>SUMIFS(DatenHernie[Anzahl],DatenHernie[Art der Leistung],$A53,DatenHernie[Kategorie (Labor, Rad, Lunge, EKG)],$B53,DatenHernie[Operationsart],$C53,DatenHernie[KH],"KH 2")</f>
        <v>2</v>
      </c>
      <c r="F53" s="10">
        <f t="shared" si="0"/>
        <v>2</v>
      </c>
      <c r="I53" s="14" t="s">
        <v>66</v>
      </c>
      <c r="J53" t="s">
        <v>63</v>
      </c>
      <c r="K53" s="7" t="s">
        <v>8</v>
      </c>
      <c r="L53" s="7">
        <v>6</v>
      </c>
      <c r="M53" s="7">
        <v>0</v>
      </c>
      <c r="N53" s="7">
        <f>AVERAGE(HernieVergleich[[#This Row],[Anzahl KH1]],HernieVergleich[[#This Row],[Anzahl KH2]])</f>
        <v>3</v>
      </c>
      <c r="O53" s="7">
        <f>ABS(HernieVergleich[[#This Row],[Anzahl KH1]]-HernieVergleich[[#This Row],[Anzahl KH2]])</f>
        <v>6</v>
      </c>
      <c r="P53" s="21">
        <f>IF(MAX(HernieVergleich[[#This Row],[Anzahl KH1]],HernieVergleich[[#This Row],[Anzahl KH2]])=0,0,ABS(HernieVergleich[[#This Row],[Anzahl KH1]]-HernieVergleich[[#This Row],[Anzahl KH2]])/MAX(HernieVergleich[[#This Row],[Anzahl KH1]],HernieVergleich[[#This Row],[Anzahl KH2]]))</f>
        <v>1</v>
      </c>
      <c r="Q53" s="7" t="str">
        <f>IF(MIN(HernieVergleich[[#This Row],[Anzahl KH1]],HernieVergleich[[#This Row],[Anzahl KH2]])=0,"∞",MAX(HernieVergleich[[#This Row],[Anzahl KH1]],HernieVergleich[[#This Row],[Anzahl KH2]])/MIN(HernieVergleich[[#This Row],[Anzahl KH1]],HernieVergleich[[#This Row],[Anzahl KH2]]))</f>
        <v>∞</v>
      </c>
      <c r="R53" s="7">
        <f>ABS(HernieVergleich[[#This Row],[Anzahl KH1]]-HernieVergleich[[#This Row],[Anzahl KH2]])*0.4</f>
        <v>2.4000000000000004</v>
      </c>
    </row>
    <row r="54" spans="1:18" x14ac:dyDescent="0.3">
      <c r="A54" s="4" t="str">
        <v>RÖ: Thorax (Übersichtsaufnahme)</v>
      </c>
      <c r="B54" t="str" cm="1">
        <f t="array" ref="B54">_xlfn.XLOOKUP(A54,TRIM(DatenHernie[Art der Leistung]),DatenHernie[Kategorie (Labor, Rad, Lunge, EKG)],"")</f>
        <v>Radiologieleistungen</v>
      </c>
      <c r="C54" s="7" t="str" cm="1">
        <f t="array" ref="C54">_xlfn.XLOOKUP(A54,TRIM(DatenHernie[Art der Leistung]),DatenHernie[Operationsart],"")</f>
        <v>Hernie</v>
      </c>
      <c r="D54" s="7">
        <f>SUMIFS(DatenHernie[Anzahl],DatenHernie[Art der Leistung],$A54,DatenHernie[Kategorie (Labor, Rad, Lunge, EKG)],$B54,DatenHernie[Operationsart],$C54,DatenHernie[KH],"KH 1")</f>
        <v>16</v>
      </c>
      <c r="E54" s="7">
        <f>SUMIFS(DatenHernie[Anzahl],DatenHernie[Art der Leistung],$A54,DatenHernie[Kategorie (Labor, Rad, Lunge, EKG)],$B54,DatenHernie[Operationsart],$C54,DatenHernie[KH],"KH 2")</f>
        <v>29</v>
      </c>
      <c r="F54" s="10">
        <f t="shared" si="0"/>
        <v>13</v>
      </c>
      <c r="I54" s="14" t="s">
        <v>67</v>
      </c>
      <c r="J54" t="s">
        <v>63</v>
      </c>
      <c r="K54" s="7" t="s">
        <v>8</v>
      </c>
      <c r="L54" s="7">
        <v>6</v>
      </c>
      <c r="M54" s="7">
        <v>0</v>
      </c>
      <c r="N54" s="7">
        <f>AVERAGE(HernieVergleich[[#This Row],[Anzahl KH1]],HernieVergleich[[#This Row],[Anzahl KH2]])</f>
        <v>3</v>
      </c>
      <c r="O54" s="7">
        <f>ABS(HernieVergleich[[#This Row],[Anzahl KH1]]-HernieVergleich[[#This Row],[Anzahl KH2]])</f>
        <v>6</v>
      </c>
      <c r="P54" s="21">
        <f>IF(MAX(HernieVergleich[[#This Row],[Anzahl KH1]],HernieVergleich[[#This Row],[Anzahl KH2]])=0,0,ABS(HernieVergleich[[#This Row],[Anzahl KH1]]-HernieVergleich[[#This Row],[Anzahl KH2]])/MAX(HernieVergleich[[#This Row],[Anzahl KH1]],HernieVergleich[[#This Row],[Anzahl KH2]]))</f>
        <v>1</v>
      </c>
      <c r="Q54" s="7" t="str">
        <f>IF(MIN(HernieVergleich[[#This Row],[Anzahl KH1]],HernieVergleich[[#This Row],[Anzahl KH2]])=0,"∞",MAX(HernieVergleich[[#This Row],[Anzahl KH1]],HernieVergleich[[#This Row],[Anzahl KH2]])/MIN(HernieVergleich[[#This Row],[Anzahl KH1]],HernieVergleich[[#This Row],[Anzahl KH2]]))</f>
        <v>∞</v>
      </c>
      <c r="R54" s="7">
        <f>ABS(HernieVergleich[[#This Row],[Anzahl KH1]]-HernieVergleich[[#This Row],[Anzahl KH2]])*0.4</f>
        <v>2.4000000000000004</v>
      </c>
    </row>
    <row r="55" spans="1:18" x14ac:dyDescent="0.3">
      <c r="A55" s="4" t="str">
        <v>CT:</v>
      </c>
      <c r="B55" t="str" cm="1">
        <f t="array" ref="B55">_xlfn.XLOOKUP(A55,TRIM(DatenHernie[Art der Leistung]),DatenHernie[Kategorie (Labor, Rad, Lunge, EKG)],"")</f>
        <v>Radiologieleistungen</v>
      </c>
      <c r="C55" s="7" t="str" cm="1">
        <f t="array" ref="C55">_xlfn.XLOOKUP(A55,TRIM(DatenHernie[Art der Leistung]),DatenHernie[Operationsart],"")</f>
        <v>Hernie</v>
      </c>
      <c r="D55" s="7">
        <f>SUMIFS(DatenHernie[Anzahl],DatenHernie[Art der Leistung],$A55,DatenHernie[Kategorie (Labor, Rad, Lunge, EKG)],$B55,DatenHernie[Operationsart],$C55,DatenHernie[KH],"KH 1")</f>
        <v>12</v>
      </c>
      <c r="E55" s="7">
        <f>SUMIFS(DatenHernie[Anzahl],DatenHernie[Art der Leistung],$A55,DatenHernie[Kategorie (Labor, Rad, Lunge, EKG)],$B55,DatenHernie[Operationsart],$C55,DatenHernie[KH],"KH 2")</f>
        <v>2</v>
      </c>
      <c r="F55" s="10">
        <f t="shared" si="0"/>
        <v>10</v>
      </c>
      <c r="I55" s="14" t="s">
        <v>68</v>
      </c>
      <c r="J55" t="s">
        <v>63</v>
      </c>
      <c r="K55" s="7" t="s">
        <v>8</v>
      </c>
      <c r="L55" s="7">
        <v>6</v>
      </c>
      <c r="M55" s="7">
        <v>0</v>
      </c>
      <c r="N55" s="7">
        <f>AVERAGE(HernieVergleich[[#This Row],[Anzahl KH1]],HernieVergleich[[#This Row],[Anzahl KH2]])</f>
        <v>3</v>
      </c>
      <c r="O55" s="7">
        <f>ABS(HernieVergleich[[#This Row],[Anzahl KH1]]-HernieVergleich[[#This Row],[Anzahl KH2]])</f>
        <v>6</v>
      </c>
      <c r="P55" s="21">
        <f>IF(MAX(HernieVergleich[[#This Row],[Anzahl KH1]],HernieVergleich[[#This Row],[Anzahl KH2]])=0,0,ABS(HernieVergleich[[#This Row],[Anzahl KH1]]-HernieVergleich[[#This Row],[Anzahl KH2]])/MAX(HernieVergleich[[#This Row],[Anzahl KH1]],HernieVergleich[[#This Row],[Anzahl KH2]]))</f>
        <v>1</v>
      </c>
      <c r="Q55" s="7" t="str">
        <f>IF(MIN(HernieVergleich[[#This Row],[Anzahl KH1]],HernieVergleich[[#This Row],[Anzahl KH2]])=0,"∞",MAX(HernieVergleich[[#This Row],[Anzahl KH1]],HernieVergleich[[#This Row],[Anzahl KH2]])/MIN(HernieVergleich[[#This Row],[Anzahl KH1]],HernieVergleich[[#This Row],[Anzahl KH2]]))</f>
        <v>∞</v>
      </c>
      <c r="R55" s="7">
        <f>ABS(HernieVergleich[[#This Row],[Anzahl KH1]]-HernieVergleich[[#This Row],[Anzahl KH2]])*0.4</f>
        <v>2.4000000000000004</v>
      </c>
    </row>
    <row r="56" spans="1:18" x14ac:dyDescent="0.3">
      <c r="A56" s="4" t="str">
        <v>CT: Becken</v>
      </c>
      <c r="B56" t="str" cm="1">
        <f t="array" ref="B56">_xlfn.XLOOKUP(A56,TRIM(DatenHernie[Art der Leistung]),DatenHernie[Kategorie (Labor, Rad, Lunge, EKG)],"")</f>
        <v>Radiologieleistungen</v>
      </c>
      <c r="C56" s="7" t="str" cm="1">
        <f t="array" ref="C56">_xlfn.XLOOKUP(A56,TRIM(DatenHernie[Art der Leistung]),DatenHernie[Operationsart],"")</f>
        <v>Hernie</v>
      </c>
      <c r="D56" s="7">
        <f>SUMIFS(DatenHernie[Anzahl],DatenHernie[Art der Leistung],$A56,DatenHernie[Kategorie (Labor, Rad, Lunge, EKG)],$B56,DatenHernie[Operationsart],$C56,DatenHernie[KH],"KH 1")</f>
        <v>6</v>
      </c>
      <c r="E56" s="7">
        <f>SUMIFS(DatenHernie[Anzahl],DatenHernie[Art der Leistung],$A56,DatenHernie[Kategorie (Labor, Rad, Lunge, EKG)],$B56,DatenHernie[Operationsart],$C56,DatenHernie[KH],"KH 2")</f>
        <v>0</v>
      </c>
      <c r="F56" s="10">
        <f t="shared" si="0"/>
        <v>6</v>
      </c>
      <c r="I56" s="14" t="s">
        <v>70</v>
      </c>
      <c r="J56" t="s">
        <v>63</v>
      </c>
      <c r="K56" s="7" t="s">
        <v>8</v>
      </c>
      <c r="L56" s="7">
        <v>6</v>
      </c>
      <c r="M56" s="7">
        <v>0</v>
      </c>
      <c r="N56" s="7">
        <f>AVERAGE(HernieVergleich[[#This Row],[Anzahl KH1]],HernieVergleich[[#This Row],[Anzahl KH2]])</f>
        <v>3</v>
      </c>
      <c r="O56" s="7">
        <f>ABS(HernieVergleich[[#This Row],[Anzahl KH1]]-HernieVergleich[[#This Row],[Anzahl KH2]])</f>
        <v>6</v>
      </c>
      <c r="P56" s="21">
        <f>IF(MAX(HernieVergleich[[#This Row],[Anzahl KH1]],HernieVergleich[[#This Row],[Anzahl KH2]])=0,0,ABS(HernieVergleich[[#This Row],[Anzahl KH1]]-HernieVergleich[[#This Row],[Anzahl KH2]])/MAX(HernieVergleich[[#This Row],[Anzahl KH1]],HernieVergleich[[#This Row],[Anzahl KH2]]))</f>
        <v>1</v>
      </c>
      <c r="Q56" s="7" t="str">
        <f>IF(MIN(HernieVergleich[[#This Row],[Anzahl KH1]],HernieVergleich[[#This Row],[Anzahl KH2]])=0,"∞",MAX(HernieVergleich[[#This Row],[Anzahl KH1]],HernieVergleich[[#This Row],[Anzahl KH2]])/MIN(HernieVergleich[[#This Row],[Anzahl KH1]],HernieVergleich[[#This Row],[Anzahl KH2]]))</f>
        <v>∞</v>
      </c>
      <c r="R56" s="7">
        <f>ABS(HernieVergleich[[#This Row],[Anzahl KH1]]-HernieVergleich[[#This Row],[Anzahl KH2]])*0.4</f>
        <v>2.4000000000000004</v>
      </c>
    </row>
    <row r="57" spans="1:18" x14ac:dyDescent="0.3">
      <c r="A57" s="4" t="str">
        <v>CT: Oberbauch</v>
      </c>
      <c r="B57" t="str" cm="1">
        <f t="array" ref="B57">_xlfn.XLOOKUP(A57,TRIM(DatenHernie[Art der Leistung]),DatenHernie[Kategorie (Labor, Rad, Lunge, EKG)],"")</f>
        <v>Radiologieleistungen</v>
      </c>
      <c r="C57" s="7" t="str" cm="1">
        <f t="array" ref="C57">_xlfn.XLOOKUP(A57,TRIM(DatenHernie[Art der Leistung]),DatenHernie[Operationsart],"")</f>
        <v>Hernie</v>
      </c>
      <c r="D57" s="7">
        <f>SUMIFS(DatenHernie[Anzahl],DatenHernie[Art der Leistung],$A57,DatenHernie[Kategorie (Labor, Rad, Lunge, EKG)],$B57,DatenHernie[Operationsart],$C57,DatenHernie[KH],"KH 1")</f>
        <v>6</v>
      </c>
      <c r="E57" s="7">
        <f>SUMIFS(DatenHernie[Anzahl],DatenHernie[Art der Leistung],$A57,DatenHernie[Kategorie (Labor, Rad, Lunge, EKG)],$B57,DatenHernie[Operationsart],$C57,DatenHernie[KH],"KH 2")</f>
        <v>0</v>
      </c>
      <c r="F57" s="10">
        <f t="shared" si="0"/>
        <v>6</v>
      </c>
      <c r="I57" s="14" t="s">
        <v>69</v>
      </c>
      <c r="J57" t="s">
        <v>63</v>
      </c>
      <c r="K57" s="7" t="s">
        <v>8</v>
      </c>
      <c r="L57" s="7">
        <v>6</v>
      </c>
      <c r="M57" s="7">
        <v>1</v>
      </c>
      <c r="N57" s="7">
        <f>AVERAGE(HernieVergleich[[#This Row],[Anzahl KH1]],HernieVergleich[[#This Row],[Anzahl KH2]])</f>
        <v>3.5</v>
      </c>
      <c r="O57" s="7">
        <f>ABS(HernieVergleich[[#This Row],[Anzahl KH1]]-HernieVergleich[[#This Row],[Anzahl KH2]])</f>
        <v>5</v>
      </c>
      <c r="P57" s="21">
        <f>IF(MAX(HernieVergleich[[#This Row],[Anzahl KH1]],HernieVergleich[[#This Row],[Anzahl KH2]])=0,0,ABS(HernieVergleich[[#This Row],[Anzahl KH1]]-HernieVergleich[[#This Row],[Anzahl KH2]])/MAX(HernieVergleich[[#This Row],[Anzahl KH1]],HernieVergleich[[#This Row],[Anzahl KH2]]))</f>
        <v>0.83333333333333337</v>
      </c>
      <c r="Q57" s="7">
        <f>IF(MIN(HernieVergleich[[#This Row],[Anzahl KH1]],HernieVergleich[[#This Row],[Anzahl KH2]])=0,"∞",MAX(HernieVergleich[[#This Row],[Anzahl KH1]],HernieVergleich[[#This Row],[Anzahl KH2]])/MIN(HernieVergleich[[#This Row],[Anzahl KH1]],HernieVergleich[[#This Row],[Anzahl KH2]]))</f>
        <v>6</v>
      </c>
      <c r="R57" s="7">
        <f>ABS(HernieVergleich[[#This Row],[Anzahl KH1]]-HernieVergleich[[#This Row],[Anzahl KH2]])*0.4</f>
        <v>2</v>
      </c>
    </row>
    <row r="58" spans="1:18" x14ac:dyDescent="0.3">
      <c r="A58" s="4" t="str">
        <v>US: Niere</v>
      </c>
      <c r="B58" t="str" cm="1">
        <f t="array" ref="B58">_xlfn.XLOOKUP(A58,TRIM(DatenHernie[Art der Leistung]),DatenHernie[Kategorie (Labor, Rad, Lunge, EKG)],"")</f>
        <v>Radiologieleistungen</v>
      </c>
      <c r="C58" s="7" t="str" cm="1">
        <f t="array" ref="C58">_xlfn.XLOOKUP(A58,TRIM(DatenHernie[Art der Leistung]),DatenHernie[Operationsart],"")</f>
        <v>Hernie</v>
      </c>
      <c r="D58" s="7">
        <f>SUMIFS(DatenHernie[Anzahl],DatenHernie[Art der Leistung],$A58,DatenHernie[Kategorie (Labor, Rad, Lunge, EKG)],$B58,DatenHernie[Operationsart],$C58,DatenHernie[KH],"KH 1")</f>
        <v>6</v>
      </c>
      <c r="E58" s="7">
        <f>SUMIFS(DatenHernie[Anzahl],DatenHernie[Art der Leistung],$A58,DatenHernie[Kategorie (Labor, Rad, Lunge, EKG)],$B58,DatenHernie[Operationsart],$C58,DatenHernie[KH],"KH 2")</f>
        <v>0</v>
      </c>
      <c r="F58" s="10">
        <f t="shared" si="0"/>
        <v>6</v>
      </c>
      <c r="I58" s="14" t="s">
        <v>56</v>
      </c>
      <c r="J58" t="s">
        <v>7</v>
      </c>
      <c r="K58" s="7" t="s">
        <v>8</v>
      </c>
      <c r="L58" s="7">
        <v>0</v>
      </c>
      <c r="M58" s="7">
        <v>4</v>
      </c>
      <c r="N58" s="7">
        <f>AVERAGE(HernieVergleich[[#This Row],[Anzahl KH1]],HernieVergleich[[#This Row],[Anzahl KH2]])</f>
        <v>2</v>
      </c>
      <c r="O58" s="7">
        <f>ABS(HernieVergleich[[#This Row],[Anzahl KH1]]-HernieVergleich[[#This Row],[Anzahl KH2]])</f>
        <v>4</v>
      </c>
      <c r="P58" s="21">
        <f>IF(MAX(HernieVergleich[[#This Row],[Anzahl KH1]],HernieVergleich[[#This Row],[Anzahl KH2]])=0,0,ABS(HernieVergleich[[#This Row],[Anzahl KH1]]-HernieVergleich[[#This Row],[Anzahl KH2]])/MAX(HernieVergleich[[#This Row],[Anzahl KH1]],HernieVergleich[[#This Row],[Anzahl KH2]]))</f>
        <v>1</v>
      </c>
      <c r="Q58" s="7" t="str">
        <f>IF(MIN(HernieVergleich[[#This Row],[Anzahl KH1]],HernieVergleich[[#This Row],[Anzahl KH2]])=0,"∞",MAX(HernieVergleich[[#This Row],[Anzahl KH1]],HernieVergleich[[#This Row],[Anzahl KH2]])/MIN(HernieVergleich[[#This Row],[Anzahl KH1]],HernieVergleich[[#This Row],[Anzahl KH2]]))</f>
        <v>∞</v>
      </c>
      <c r="R58" s="7">
        <f>ABS(HernieVergleich[[#This Row],[Anzahl KH1]]-HernieVergleich[[#This Row],[Anzahl KH2]])*0.4</f>
        <v>1.6</v>
      </c>
    </row>
    <row r="59" spans="1:18" x14ac:dyDescent="0.3">
      <c r="A59" s="4" t="str">
        <v>US: Becken</v>
      </c>
      <c r="B59" t="str" cm="1">
        <f t="array" ref="B59">_xlfn.XLOOKUP(A59,TRIM(DatenHernie[Art der Leistung]),DatenHernie[Kategorie (Labor, Rad, Lunge, EKG)],"")</f>
        <v>Radiologieleistungen</v>
      </c>
      <c r="C59" s="7" t="str" cm="1">
        <f t="array" ref="C59">_xlfn.XLOOKUP(A59,TRIM(DatenHernie[Art der Leistung]),DatenHernie[Operationsart],"")</f>
        <v>Hernie</v>
      </c>
      <c r="D59" s="7">
        <f>SUMIFS(DatenHernie[Anzahl],DatenHernie[Art der Leistung],$A59,DatenHernie[Kategorie (Labor, Rad, Lunge, EKG)],$B59,DatenHernie[Operationsart],$C59,DatenHernie[KH],"KH 1")</f>
        <v>6</v>
      </c>
      <c r="E59" s="7">
        <f>SUMIFS(DatenHernie[Anzahl],DatenHernie[Art der Leistung],$A59,DatenHernie[Kategorie (Labor, Rad, Lunge, EKG)],$B59,DatenHernie[Operationsart],$C59,DatenHernie[KH],"KH 2")</f>
        <v>0</v>
      </c>
      <c r="F59" s="10">
        <f t="shared" si="0"/>
        <v>6</v>
      </c>
      <c r="I59" s="14" t="s">
        <v>73</v>
      </c>
      <c r="J59" t="s">
        <v>63</v>
      </c>
      <c r="K59" s="7" t="s">
        <v>8</v>
      </c>
      <c r="L59" s="7">
        <v>4</v>
      </c>
      <c r="M59" s="7">
        <v>8</v>
      </c>
      <c r="N59" s="7">
        <f>AVERAGE(HernieVergleich[[#This Row],[Anzahl KH1]],HernieVergleich[[#This Row],[Anzahl KH2]])</f>
        <v>6</v>
      </c>
      <c r="O59" s="7">
        <f>ABS(HernieVergleich[[#This Row],[Anzahl KH1]]-HernieVergleich[[#This Row],[Anzahl KH2]])</f>
        <v>4</v>
      </c>
      <c r="P59" s="21">
        <f>IF(MAX(HernieVergleich[[#This Row],[Anzahl KH1]],HernieVergleich[[#This Row],[Anzahl KH2]])=0,0,ABS(HernieVergleich[[#This Row],[Anzahl KH1]]-HernieVergleich[[#This Row],[Anzahl KH2]])/MAX(HernieVergleich[[#This Row],[Anzahl KH1]],HernieVergleich[[#This Row],[Anzahl KH2]]))</f>
        <v>0.5</v>
      </c>
      <c r="Q59" s="7">
        <f>IF(MIN(HernieVergleich[[#This Row],[Anzahl KH1]],HernieVergleich[[#This Row],[Anzahl KH2]])=0,"∞",MAX(HernieVergleich[[#This Row],[Anzahl KH1]],HernieVergleich[[#This Row],[Anzahl KH2]])/MIN(HernieVergleich[[#This Row],[Anzahl KH1]],HernieVergleich[[#This Row],[Anzahl KH2]]))</f>
        <v>2</v>
      </c>
      <c r="R59" s="7">
        <f>ABS(HernieVergleich[[#This Row],[Anzahl KH1]]-HernieVergleich[[#This Row],[Anzahl KH2]])*0.4</f>
        <v>1.6</v>
      </c>
    </row>
    <row r="60" spans="1:18" x14ac:dyDescent="0.3">
      <c r="A60" s="4" t="str">
        <v>CT: intravenöse Kontrastmittelgabe</v>
      </c>
      <c r="B60" t="str" cm="1">
        <f t="array" ref="B60">_xlfn.XLOOKUP(A60,TRIM(DatenHernie[Art der Leistung]),DatenHernie[Kategorie (Labor, Rad, Lunge, EKG)],"")</f>
        <v>Radiologieleistungen</v>
      </c>
      <c r="C60" s="7" t="str" cm="1">
        <f t="array" ref="C60">_xlfn.XLOOKUP(A60,TRIM(DatenHernie[Art der Leistung]),DatenHernie[Operationsart],"")</f>
        <v>Hernie</v>
      </c>
      <c r="D60" s="7">
        <f>SUMIFS(DatenHernie[Anzahl],DatenHernie[Art der Leistung],$A60,DatenHernie[Kategorie (Labor, Rad, Lunge, EKG)],$B60,DatenHernie[Operationsart],$C60,DatenHernie[KH],"KH 1")</f>
        <v>6</v>
      </c>
      <c r="E60" s="7">
        <f>SUMIFS(DatenHernie[Anzahl],DatenHernie[Art der Leistung],$A60,DatenHernie[Kategorie (Labor, Rad, Lunge, EKG)],$B60,DatenHernie[Operationsart],$C60,DatenHernie[KH],"KH 2")</f>
        <v>1</v>
      </c>
      <c r="F60" s="10">
        <f t="shared" si="0"/>
        <v>5</v>
      </c>
      <c r="I60" s="14" t="s">
        <v>74</v>
      </c>
      <c r="J60" t="s">
        <v>63</v>
      </c>
      <c r="K60" s="7" t="s">
        <v>8</v>
      </c>
      <c r="L60" s="7">
        <v>4</v>
      </c>
      <c r="M60" s="7">
        <v>0</v>
      </c>
      <c r="N60" s="7">
        <f>AVERAGE(HernieVergleich[[#This Row],[Anzahl KH1]],HernieVergleich[[#This Row],[Anzahl KH2]])</f>
        <v>2</v>
      </c>
      <c r="O60" s="7">
        <f>ABS(HernieVergleich[[#This Row],[Anzahl KH1]]-HernieVergleich[[#This Row],[Anzahl KH2]])</f>
        <v>4</v>
      </c>
      <c r="P60" s="21">
        <f>IF(MAX(HernieVergleich[[#This Row],[Anzahl KH1]],HernieVergleich[[#This Row],[Anzahl KH2]])=0,0,ABS(HernieVergleich[[#This Row],[Anzahl KH1]]-HernieVergleich[[#This Row],[Anzahl KH2]])/MAX(HernieVergleich[[#This Row],[Anzahl KH1]],HernieVergleich[[#This Row],[Anzahl KH2]]))</f>
        <v>1</v>
      </c>
      <c r="Q60" s="7" t="str">
        <f>IF(MIN(HernieVergleich[[#This Row],[Anzahl KH1]],HernieVergleich[[#This Row],[Anzahl KH2]])=0,"∞",MAX(HernieVergleich[[#This Row],[Anzahl KH1]],HernieVergleich[[#This Row],[Anzahl KH2]])/MIN(HernieVergleich[[#This Row],[Anzahl KH1]],HernieVergleich[[#This Row],[Anzahl KH2]]))</f>
        <v>∞</v>
      </c>
      <c r="R60" s="7">
        <f>ABS(HernieVergleich[[#This Row],[Anzahl KH1]]-HernieVergleich[[#This Row],[Anzahl KH2]])*0.4</f>
        <v>1.6</v>
      </c>
    </row>
    <row r="61" spans="1:18" x14ac:dyDescent="0.3">
      <c r="A61" s="4" t="str">
        <v>CT: Harnorgane</v>
      </c>
      <c r="B61" t="str" cm="1">
        <f t="array" ref="B61">_xlfn.XLOOKUP(A61,TRIM(DatenHernie[Art der Leistung]),DatenHernie[Kategorie (Labor, Rad, Lunge, EKG)],"")</f>
        <v>Radiologieleistungen</v>
      </c>
      <c r="C61" s="7" t="str" cm="1">
        <f t="array" ref="C61">_xlfn.XLOOKUP(A61,TRIM(DatenHernie[Art der Leistung]),DatenHernie[Operationsart],"")</f>
        <v>Hernie</v>
      </c>
      <c r="D61" s="7">
        <f>SUMIFS(DatenHernie[Anzahl],DatenHernie[Art der Leistung],$A61,DatenHernie[Kategorie (Labor, Rad, Lunge, EKG)],$B61,DatenHernie[Operationsart],$C61,DatenHernie[KH],"KH 1")</f>
        <v>6</v>
      </c>
      <c r="E61" s="7">
        <f>SUMIFS(DatenHernie[Anzahl],DatenHernie[Art der Leistung],$A61,DatenHernie[Kategorie (Labor, Rad, Lunge, EKG)],$B61,DatenHernie[Operationsart],$C61,DatenHernie[KH],"KH 2")</f>
        <v>0</v>
      </c>
      <c r="F61" s="10">
        <f t="shared" si="0"/>
        <v>6</v>
      </c>
      <c r="I61" s="14" t="s">
        <v>76</v>
      </c>
      <c r="J61" t="s">
        <v>63</v>
      </c>
      <c r="K61" s="7" t="s">
        <v>8</v>
      </c>
      <c r="L61" s="7">
        <v>4</v>
      </c>
      <c r="M61" s="7">
        <v>8</v>
      </c>
      <c r="N61" s="7">
        <f>AVERAGE(HernieVergleich[[#This Row],[Anzahl KH1]],HernieVergleich[[#This Row],[Anzahl KH2]])</f>
        <v>6</v>
      </c>
      <c r="O61" s="7">
        <f>ABS(HernieVergleich[[#This Row],[Anzahl KH1]]-HernieVergleich[[#This Row],[Anzahl KH2]])</f>
        <v>4</v>
      </c>
      <c r="P61" s="21">
        <f>IF(MAX(HernieVergleich[[#This Row],[Anzahl KH1]],HernieVergleich[[#This Row],[Anzahl KH2]])=0,0,ABS(HernieVergleich[[#This Row],[Anzahl KH1]]-HernieVergleich[[#This Row],[Anzahl KH2]])/MAX(HernieVergleich[[#This Row],[Anzahl KH1]],HernieVergleich[[#This Row],[Anzahl KH2]]))</f>
        <v>0.5</v>
      </c>
      <c r="Q61" s="7">
        <f>IF(MIN(HernieVergleich[[#This Row],[Anzahl KH1]],HernieVergleich[[#This Row],[Anzahl KH2]])=0,"∞",MAX(HernieVergleich[[#This Row],[Anzahl KH1]],HernieVergleich[[#This Row],[Anzahl KH2]])/MIN(HernieVergleich[[#This Row],[Anzahl KH1]],HernieVergleich[[#This Row],[Anzahl KH2]]))</f>
        <v>2</v>
      </c>
      <c r="R61" s="7">
        <f>ABS(HernieVergleich[[#This Row],[Anzahl KH1]]-HernieVergleich[[#This Row],[Anzahl KH2]])*0.4</f>
        <v>1.6</v>
      </c>
    </row>
    <row r="62" spans="1:18" x14ac:dyDescent="0.3">
      <c r="A62" s="4" t="str">
        <v>RÖ: Thorax (lateral)</v>
      </c>
      <c r="B62" t="str" cm="1">
        <f t="array" ref="B62">_xlfn.XLOOKUP(A62,TRIM(DatenHernie[Art der Leistung]),DatenHernie[Kategorie (Labor, Rad, Lunge, EKG)],"")</f>
        <v>Radiologieleistungen</v>
      </c>
      <c r="C62" s="7" t="str" cm="1">
        <f t="array" ref="C62">_xlfn.XLOOKUP(A62,TRIM(DatenHernie[Art der Leistung]),DatenHernie[Operationsart],"")</f>
        <v>Hernie</v>
      </c>
      <c r="D62" s="7">
        <f>SUMIFS(DatenHernie[Anzahl],DatenHernie[Art der Leistung],$A62,DatenHernie[Kategorie (Labor, Rad, Lunge, EKG)],$B62,DatenHernie[Operationsart],$C62,DatenHernie[KH],"KH 1")</f>
        <v>6</v>
      </c>
      <c r="E62" s="7">
        <f>SUMIFS(DatenHernie[Anzahl],DatenHernie[Art der Leistung],$A62,DatenHernie[Kategorie (Labor, Rad, Lunge, EKG)],$B62,DatenHernie[Operationsart],$C62,DatenHernie[KH],"KH 2")</f>
        <v>27</v>
      </c>
      <c r="F62" s="10">
        <f t="shared" si="0"/>
        <v>21</v>
      </c>
      <c r="I62" s="14" t="s">
        <v>78</v>
      </c>
      <c r="J62" t="s">
        <v>63</v>
      </c>
      <c r="K62" s="7" t="s">
        <v>8</v>
      </c>
      <c r="L62" s="7">
        <v>4</v>
      </c>
      <c r="M62" s="7">
        <v>0</v>
      </c>
      <c r="N62" s="7">
        <f>AVERAGE(HernieVergleich[[#This Row],[Anzahl KH1]],HernieVergleich[[#This Row],[Anzahl KH2]])</f>
        <v>2</v>
      </c>
      <c r="O62" s="7">
        <f>ABS(HernieVergleich[[#This Row],[Anzahl KH1]]-HernieVergleich[[#This Row],[Anzahl KH2]])</f>
        <v>4</v>
      </c>
      <c r="P62" s="21">
        <f>IF(MAX(HernieVergleich[[#This Row],[Anzahl KH1]],HernieVergleich[[#This Row],[Anzahl KH2]])=0,0,ABS(HernieVergleich[[#This Row],[Anzahl KH1]]-HernieVergleich[[#This Row],[Anzahl KH2]])/MAX(HernieVergleich[[#This Row],[Anzahl KH1]],HernieVergleich[[#This Row],[Anzahl KH2]]))</f>
        <v>1</v>
      </c>
      <c r="Q62" s="7" t="str">
        <f>IF(MIN(HernieVergleich[[#This Row],[Anzahl KH1]],HernieVergleich[[#This Row],[Anzahl KH2]])=0,"∞",MAX(HernieVergleich[[#This Row],[Anzahl KH1]],HernieVergleich[[#This Row],[Anzahl KH2]])/MIN(HernieVergleich[[#This Row],[Anzahl KH1]],HernieVergleich[[#This Row],[Anzahl KH2]]))</f>
        <v>∞</v>
      </c>
      <c r="R62" s="7">
        <f>ABS(HernieVergleich[[#This Row],[Anzahl KH1]]-HernieVergleich[[#This Row],[Anzahl KH2]])*0.4</f>
        <v>1.6</v>
      </c>
    </row>
    <row r="63" spans="1:18" x14ac:dyDescent="0.3">
      <c r="A63" s="4" t="str">
        <v>US: Bewegungsapparat</v>
      </c>
      <c r="B63" t="str" cm="1">
        <f t="array" ref="B63">_xlfn.XLOOKUP(A63,TRIM(DatenHernie[Art der Leistung]),DatenHernie[Kategorie (Labor, Rad, Lunge, EKG)],"")</f>
        <v>Radiologieleistungen</v>
      </c>
      <c r="C63" s="7" t="str" cm="1">
        <f t="array" ref="C63">_xlfn.XLOOKUP(A63,TRIM(DatenHernie[Art der Leistung]),DatenHernie[Operationsart],"")</f>
        <v>Hernie</v>
      </c>
      <c r="D63" s="7">
        <f>SUMIFS(DatenHernie[Anzahl],DatenHernie[Art der Leistung],$A63,DatenHernie[Kategorie (Labor, Rad, Lunge, EKG)],$B63,DatenHernie[Operationsart],$C63,DatenHernie[KH],"KH 1")</f>
        <v>6</v>
      </c>
      <c r="E63" s="7">
        <f>SUMIFS(DatenHernie[Anzahl],DatenHernie[Art der Leistung],$A63,DatenHernie[Kategorie (Labor, Rad, Lunge, EKG)],$B63,DatenHernie[Operationsart],$C63,DatenHernie[KH],"KH 2")</f>
        <v>5</v>
      </c>
      <c r="F63" s="10">
        <f t="shared" si="0"/>
        <v>1</v>
      </c>
      <c r="I63" s="14" t="s">
        <v>57</v>
      </c>
      <c r="J63" t="s">
        <v>7</v>
      </c>
      <c r="K63" s="7" t="s">
        <v>8</v>
      </c>
      <c r="L63" s="7">
        <v>0</v>
      </c>
      <c r="M63" s="7">
        <v>3</v>
      </c>
      <c r="N63" s="7">
        <f>AVERAGE(HernieVergleich[[#This Row],[Anzahl KH1]],HernieVergleich[[#This Row],[Anzahl KH2]])</f>
        <v>1.5</v>
      </c>
      <c r="O63" s="7">
        <f>ABS(HernieVergleich[[#This Row],[Anzahl KH1]]-HernieVergleich[[#This Row],[Anzahl KH2]])</f>
        <v>3</v>
      </c>
      <c r="P63" s="21">
        <f>IF(MAX(HernieVergleich[[#This Row],[Anzahl KH1]],HernieVergleich[[#This Row],[Anzahl KH2]])=0,0,ABS(HernieVergleich[[#This Row],[Anzahl KH1]]-HernieVergleich[[#This Row],[Anzahl KH2]])/MAX(HernieVergleich[[#This Row],[Anzahl KH1]],HernieVergleich[[#This Row],[Anzahl KH2]]))</f>
        <v>1</v>
      </c>
      <c r="Q63" s="7" t="str">
        <f>IF(MIN(HernieVergleich[[#This Row],[Anzahl KH1]],HernieVergleich[[#This Row],[Anzahl KH2]])=0,"∞",MAX(HernieVergleich[[#This Row],[Anzahl KH1]],HernieVergleich[[#This Row],[Anzahl KH2]])/MIN(HernieVergleich[[#This Row],[Anzahl KH1]],HernieVergleich[[#This Row],[Anzahl KH2]]))</f>
        <v>∞</v>
      </c>
      <c r="R63" s="7">
        <f>ABS(HernieVergleich[[#This Row],[Anzahl KH1]]-HernieVergleich[[#This Row],[Anzahl KH2]])*0.4</f>
        <v>1.2000000000000002</v>
      </c>
    </row>
    <row r="64" spans="1:18" x14ac:dyDescent="0.3">
      <c r="A64" s="4" t="str">
        <v>US: Oberbauch</v>
      </c>
      <c r="B64" t="str" cm="1">
        <f t="array" ref="B64">_xlfn.XLOOKUP(A64,TRIM(DatenHernie[Art der Leistung]),DatenHernie[Kategorie (Labor, Rad, Lunge, EKG)],"")</f>
        <v>Radiologieleistungen</v>
      </c>
      <c r="C64" s="7" t="str" cm="1">
        <f t="array" ref="C64">_xlfn.XLOOKUP(A64,TRIM(DatenHernie[Art der Leistung]),DatenHernie[Operationsart],"")</f>
        <v>Hernie</v>
      </c>
      <c r="D64" s="7">
        <f>SUMIFS(DatenHernie[Anzahl],DatenHernie[Art der Leistung],$A64,DatenHernie[Kategorie (Labor, Rad, Lunge, EKG)],$B64,DatenHernie[Operationsart],$C64,DatenHernie[KH],"KH 1")</f>
        <v>4</v>
      </c>
      <c r="E64" s="7">
        <f>SUMIFS(DatenHernie[Anzahl],DatenHernie[Art der Leistung],$A64,DatenHernie[Kategorie (Labor, Rad, Lunge, EKG)],$B64,DatenHernie[Operationsart],$C64,DatenHernie[KH],"KH 2")</f>
        <v>8</v>
      </c>
      <c r="F64" s="10">
        <f t="shared" si="0"/>
        <v>4</v>
      </c>
      <c r="I64" s="14" t="s">
        <v>77</v>
      </c>
      <c r="J64" t="s">
        <v>63</v>
      </c>
      <c r="K64" s="7" t="s">
        <v>8</v>
      </c>
      <c r="L64" s="7">
        <v>4</v>
      </c>
      <c r="M64" s="7">
        <v>1</v>
      </c>
      <c r="N64" s="7">
        <f>AVERAGE(HernieVergleich[[#This Row],[Anzahl KH1]],HernieVergleich[[#This Row],[Anzahl KH2]])</f>
        <v>2.5</v>
      </c>
      <c r="O64" s="7">
        <f>ABS(HernieVergleich[[#This Row],[Anzahl KH1]]-HernieVergleich[[#This Row],[Anzahl KH2]])</f>
        <v>3</v>
      </c>
      <c r="P64" s="21">
        <f>IF(MAX(HernieVergleich[[#This Row],[Anzahl KH1]],HernieVergleich[[#This Row],[Anzahl KH2]])=0,0,ABS(HernieVergleich[[#This Row],[Anzahl KH1]]-HernieVergleich[[#This Row],[Anzahl KH2]])/MAX(HernieVergleich[[#This Row],[Anzahl KH1]],HernieVergleich[[#This Row],[Anzahl KH2]]))</f>
        <v>0.75</v>
      </c>
      <c r="Q64" s="7">
        <f>IF(MIN(HernieVergleich[[#This Row],[Anzahl KH1]],HernieVergleich[[#This Row],[Anzahl KH2]])=0,"∞",MAX(HernieVergleich[[#This Row],[Anzahl KH1]],HernieVergleich[[#This Row],[Anzahl KH2]])/MIN(HernieVergleich[[#This Row],[Anzahl KH1]],HernieVergleich[[#This Row],[Anzahl KH2]]))</f>
        <v>4</v>
      </c>
      <c r="R64" s="7">
        <f>ABS(HernieVergleich[[#This Row],[Anzahl KH1]]-HernieVergleich[[#This Row],[Anzahl KH2]])*0.4</f>
        <v>1.2000000000000002</v>
      </c>
    </row>
    <row r="65" spans="1:18" x14ac:dyDescent="0.3">
      <c r="A65" s="4" t="str">
        <v>US: Karotis</v>
      </c>
      <c r="B65" t="str" cm="1">
        <f t="array" ref="B65">_xlfn.XLOOKUP(A65,TRIM(DatenHernie[Art der Leistung]),DatenHernie[Kategorie (Labor, Rad, Lunge, EKG)],"")</f>
        <v>Radiologieleistungen</v>
      </c>
      <c r="C65" s="7" t="str" cm="1">
        <f t="array" ref="C65">_xlfn.XLOOKUP(A65,TRIM(DatenHernie[Art der Leistung]),DatenHernie[Operationsart],"")</f>
        <v>Hernie</v>
      </c>
      <c r="D65" s="7">
        <f>SUMIFS(DatenHernie[Anzahl],DatenHernie[Art der Leistung],$A65,DatenHernie[Kategorie (Labor, Rad, Lunge, EKG)],$B65,DatenHernie[Operationsart],$C65,DatenHernie[KH],"KH 1")</f>
        <v>4</v>
      </c>
      <c r="E65" s="7">
        <f>SUMIFS(DatenHernie[Anzahl],DatenHernie[Art der Leistung],$A65,DatenHernie[Kategorie (Labor, Rad, Lunge, EKG)],$B65,DatenHernie[Operationsart],$C65,DatenHernie[KH],"KH 2")</f>
        <v>0</v>
      </c>
      <c r="F65" s="10">
        <f t="shared" si="0"/>
        <v>4</v>
      </c>
      <c r="I65" s="14" t="s">
        <v>79</v>
      </c>
      <c r="J65" t="s">
        <v>63</v>
      </c>
      <c r="K65" s="7" t="s">
        <v>8</v>
      </c>
      <c r="L65" s="7">
        <v>3</v>
      </c>
      <c r="M65" s="7">
        <v>0</v>
      </c>
      <c r="N65" s="7">
        <f>AVERAGE(HernieVergleich[[#This Row],[Anzahl KH1]],HernieVergleich[[#This Row],[Anzahl KH2]])</f>
        <v>1.5</v>
      </c>
      <c r="O65" s="7">
        <f>ABS(HernieVergleich[[#This Row],[Anzahl KH1]]-HernieVergleich[[#This Row],[Anzahl KH2]])</f>
        <v>3</v>
      </c>
      <c r="P65" s="21">
        <f>IF(MAX(HernieVergleich[[#This Row],[Anzahl KH1]],HernieVergleich[[#This Row],[Anzahl KH2]])=0,0,ABS(HernieVergleich[[#This Row],[Anzahl KH1]]-HernieVergleich[[#This Row],[Anzahl KH2]])/MAX(HernieVergleich[[#This Row],[Anzahl KH1]],HernieVergleich[[#This Row],[Anzahl KH2]]))</f>
        <v>1</v>
      </c>
      <c r="Q65" s="7" t="str">
        <f>IF(MIN(HernieVergleich[[#This Row],[Anzahl KH1]],HernieVergleich[[#This Row],[Anzahl KH2]])=0,"∞",MAX(HernieVergleich[[#This Row],[Anzahl KH1]],HernieVergleich[[#This Row],[Anzahl KH2]])/MIN(HernieVergleich[[#This Row],[Anzahl KH1]],HernieVergleich[[#This Row],[Anzahl KH2]]))</f>
        <v>∞</v>
      </c>
      <c r="R65" s="7">
        <f>ABS(HernieVergleich[[#This Row],[Anzahl KH1]]-HernieVergleich[[#This Row],[Anzahl KH2]])*0.4</f>
        <v>1.2000000000000002</v>
      </c>
    </row>
    <row r="66" spans="1:18" x14ac:dyDescent="0.3">
      <c r="A66" s="4" t="str">
        <v>US: Unterbauch (transabdominell)</v>
      </c>
      <c r="B66" t="str" cm="1">
        <f t="array" ref="B66">_xlfn.XLOOKUP(A66,TRIM(DatenHernie[Art der Leistung]),DatenHernie[Kategorie (Labor, Rad, Lunge, EKG)],"")</f>
        <v>Radiologieleistungen</v>
      </c>
      <c r="C66" s="7" t="str" cm="1">
        <f t="array" ref="C66">_xlfn.XLOOKUP(A66,TRIM(DatenHernie[Art der Leistung]),DatenHernie[Operationsart],"")</f>
        <v>Hernie</v>
      </c>
      <c r="D66" s="7">
        <f>SUMIFS(DatenHernie[Anzahl],DatenHernie[Art der Leistung],$A66,DatenHernie[Kategorie (Labor, Rad, Lunge, EKG)],$B66,DatenHernie[Operationsart],$C66,DatenHernie[KH],"KH 1")</f>
        <v>4</v>
      </c>
      <c r="E66" s="7">
        <f>SUMIFS(DatenHernie[Anzahl],DatenHernie[Art der Leistung],$A66,DatenHernie[Kategorie (Labor, Rad, Lunge, EKG)],$B66,DatenHernie[Operationsart],$C66,DatenHernie[KH],"KH 2")</f>
        <v>15</v>
      </c>
      <c r="F66" s="10">
        <f t="shared" si="0"/>
        <v>11</v>
      </c>
      <c r="I66" s="14" t="s">
        <v>58</v>
      </c>
      <c r="J66" t="s">
        <v>7</v>
      </c>
      <c r="K66" s="7" t="s">
        <v>8</v>
      </c>
      <c r="L66" s="7">
        <v>0</v>
      </c>
      <c r="M66" s="7">
        <v>2</v>
      </c>
      <c r="N66" s="7">
        <f>AVERAGE(HernieVergleich[[#This Row],[Anzahl KH1]],HernieVergleich[[#This Row],[Anzahl KH2]])</f>
        <v>1</v>
      </c>
      <c r="O66" s="7">
        <f>ABS(HernieVergleich[[#This Row],[Anzahl KH1]]-HernieVergleich[[#This Row],[Anzahl KH2]])</f>
        <v>2</v>
      </c>
      <c r="P66" s="21">
        <f>IF(MAX(HernieVergleich[[#This Row],[Anzahl KH1]],HernieVergleich[[#This Row],[Anzahl KH2]])=0,0,ABS(HernieVergleich[[#This Row],[Anzahl KH1]]-HernieVergleich[[#This Row],[Anzahl KH2]])/MAX(HernieVergleich[[#This Row],[Anzahl KH1]],HernieVergleich[[#This Row],[Anzahl KH2]]))</f>
        <v>1</v>
      </c>
      <c r="Q66" s="7" t="str">
        <f>IF(MIN(HernieVergleich[[#This Row],[Anzahl KH1]],HernieVergleich[[#This Row],[Anzahl KH2]])=0,"∞",MAX(HernieVergleich[[#This Row],[Anzahl KH1]],HernieVergleich[[#This Row],[Anzahl KH2]])/MIN(HernieVergleich[[#This Row],[Anzahl KH1]],HernieVergleich[[#This Row],[Anzahl KH2]]))</f>
        <v>∞</v>
      </c>
      <c r="R66" s="7">
        <f>ABS(HernieVergleich[[#This Row],[Anzahl KH1]]-HernieVergleich[[#This Row],[Anzahl KH2]])*0.4</f>
        <v>0.8</v>
      </c>
    </row>
    <row r="67" spans="1:18" x14ac:dyDescent="0.3">
      <c r="A67" s="4" t="str">
        <v>US: Retroperitoneum</v>
      </c>
      <c r="B67" t="str" cm="1">
        <f t="array" ref="B67">_xlfn.XLOOKUP(A67,TRIM(DatenHernie[Art der Leistung]),DatenHernie[Kategorie (Labor, Rad, Lunge, EKG)],"")</f>
        <v>Radiologieleistungen</v>
      </c>
      <c r="C67" s="7" t="str" cm="1">
        <f t="array" ref="C67">_xlfn.XLOOKUP(A67,TRIM(DatenHernie[Art der Leistung]),DatenHernie[Operationsart],"")</f>
        <v>Hernie</v>
      </c>
      <c r="D67" s="7">
        <f>SUMIFS(DatenHernie[Anzahl],DatenHernie[Art der Leistung],$A67,DatenHernie[Kategorie (Labor, Rad, Lunge, EKG)],$B67,DatenHernie[Operationsart],$C67,DatenHernie[KH],"KH 1")</f>
        <v>4</v>
      </c>
      <c r="E67" s="7">
        <f>SUMIFS(DatenHernie[Anzahl],DatenHernie[Art der Leistung],$A67,DatenHernie[Kategorie (Labor, Rad, Lunge, EKG)],$B67,DatenHernie[Operationsart],$C67,DatenHernie[KH],"KH 2")</f>
        <v>8</v>
      </c>
      <c r="F67" s="10">
        <f t="shared" ref="F67:F88" si="1">MAX(D67,E67)-MIN(D67,E67)</f>
        <v>4</v>
      </c>
      <c r="I67" s="14" t="s">
        <v>59</v>
      </c>
      <c r="J67" t="s">
        <v>7</v>
      </c>
      <c r="K67" s="7" t="s">
        <v>8</v>
      </c>
      <c r="L67" s="7">
        <v>0</v>
      </c>
      <c r="M67" s="7">
        <v>2</v>
      </c>
      <c r="N67" s="7">
        <f>AVERAGE(HernieVergleich[[#This Row],[Anzahl KH1]],HernieVergleich[[#This Row],[Anzahl KH2]])</f>
        <v>1</v>
      </c>
      <c r="O67" s="7">
        <f>ABS(HernieVergleich[[#This Row],[Anzahl KH1]]-HernieVergleich[[#This Row],[Anzahl KH2]])</f>
        <v>2</v>
      </c>
      <c r="P67" s="21">
        <f>IF(MAX(HernieVergleich[[#This Row],[Anzahl KH1]],HernieVergleich[[#This Row],[Anzahl KH2]])=0,0,ABS(HernieVergleich[[#This Row],[Anzahl KH1]]-HernieVergleich[[#This Row],[Anzahl KH2]])/MAX(HernieVergleich[[#This Row],[Anzahl KH1]],HernieVergleich[[#This Row],[Anzahl KH2]]))</f>
        <v>1</v>
      </c>
      <c r="Q67" s="7" t="str">
        <f>IF(MIN(HernieVergleich[[#This Row],[Anzahl KH1]],HernieVergleich[[#This Row],[Anzahl KH2]])=0,"∞",MAX(HernieVergleich[[#This Row],[Anzahl KH1]],HernieVergleich[[#This Row],[Anzahl KH2]])/MIN(HernieVergleich[[#This Row],[Anzahl KH1]],HernieVergleich[[#This Row],[Anzahl KH2]]))</f>
        <v>∞</v>
      </c>
      <c r="R67" s="7">
        <f>ABS(HernieVergleich[[#This Row],[Anzahl KH1]]-HernieVergleich[[#This Row],[Anzahl KH2]])*0.4</f>
        <v>0.8</v>
      </c>
    </row>
    <row r="68" spans="1:18" x14ac:dyDescent="0.3">
      <c r="A68" s="4" t="str">
        <v>CT: Abdomen</v>
      </c>
      <c r="B68" t="str" cm="1">
        <f t="array" ref="B68">_xlfn.XLOOKUP(A68,TRIM(DatenHernie[Art der Leistung]),DatenHernie[Kategorie (Labor, Rad, Lunge, EKG)],"")</f>
        <v>Radiologieleistungen</v>
      </c>
      <c r="C68" s="7" t="str" cm="1">
        <f t="array" ref="C68">_xlfn.XLOOKUP(A68,TRIM(DatenHernie[Art der Leistung]),DatenHernie[Operationsart],"")</f>
        <v>Hernie</v>
      </c>
      <c r="D68" s="7">
        <f>SUMIFS(DatenHernie[Anzahl],DatenHernie[Art der Leistung],$A68,DatenHernie[Kategorie (Labor, Rad, Lunge, EKG)],$B68,DatenHernie[Operationsart],$C68,DatenHernie[KH],"KH 1")</f>
        <v>4</v>
      </c>
      <c r="E68" s="7">
        <f>SUMIFS(DatenHernie[Anzahl],DatenHernie[Art der Leistung],$A68,DatenHernie[Kategorie (Labor, Rad, Lunge, EKG)],$B68,DatenHernie[Operationsart],$C68,DatenHernie[KH],"KH 2")</f>
        <v>1</v>
      </c>
      <c r="F68" s="10">
        <f t="shared" si="1"/>
        <v>3</v>
      </c>
      <c r="I68" s="14" t="s">
        <v>60</v>
      </c>
      <c r="J68" t="s">
        <v>7</v>
      </c>
      <c r="K68" s="7" t="s">
        <v>8</v>
      </c>
      <c r="L68" s="7">
        <v>0</v>
      </c>
      <c r="M68" s="7">
        <v>2</v>
      </c>
      <c r="N68" s="7">
        <f>AVERAGE(HernieVergleich[[#This Row],[Anzahl KH1]],HernieVergleich[[#This Row],[Anzahl KH2]])</f>
        <v>1</v>
      </c>
      <c r="O68" s="7">
        <f>ABS(HernieVergleich[[#This Row],[Anzahl KH1]]-HernieVergleich[[#This Row],[Anzahl KH2]])</f>
        <v>2</v>
      </c>
      <c r="P68" s="21">
        <f>IF(MAX(HernieVergleich[[#This Row],[Anzahl KH1]],HernieVergleich[[#This Row],[Anzahl KH2]])=0,0,ABS(HernieVergleich[[#This Row],[Anzahl KH1]]-HernieVergleich[[#This Row],[Anzahl KH2]])/MAX(HernieVergleich[[#This Row],[Anzahl KH1]],HernieVergleich[[#This Row],[Anzahl KH2]]))</f>
        <v>1</v>
      </c>
      <c r="Q68" s="7" t="str">
        <f>IF(MIN(HernieVergleich[[#This Row],[Anzahl KH1]],HernieVergleich[[#This Row],[Anzahl KH2]])=0,"∞",MAX(HernieVergleich[[#This Row],[Anzahl KH1]],HernieVergleich[[#This Row],[Anzahl KH2]])/MIN(HernieVergleich[[#This Row],[Anzahl KH1]],HernieVergleich[[#This Row],[Anzahl KH2]]))</f>
        <v>∞</v>
      </c>
      <c r="R68" s="7">
        <f>ABS(HernieVergleich[[#This Row],[Anzahl KH1]]-HernieVergleich[[#This Row],[Anzahl KH2]])*0.4</f>
        <v>0.8</v>
      </c>
    </row>
    <row r="69" spans="1:18" x14ac:dyDescent="0.3">
      <c r="A69" s="4" t="str">
        <v>US: Wirbelarterie</v>
      </c>
      <c r="B69" t="str" cm="1">
        <f t="array" ref="B69">_xlfn.XLOOKUP(A69,TRIM(DatenHernie[Art der Leistung]),DatenHernie[Kategorie (Labor, Rad, Lunge, EKG)],"")</f>
        <v>Radiologieleistungen</v>
      </c>
      <c r="C69" s="7" t="str" cm="1">
        <f t="array" ref="C69">_xlfn.XLOOKUP(A69,TRIM(DatenHernie[Art der Leistung]),DatenHernie[Operationsart],"")</f>
        <v>Hernie</v>
      </c>
      <c r="D69" s="7">
        <f>SUMIFS(DatenHernie[Anzahl],DatenHernie[Art der Leistung],$A69,DatenHernie[Kategorie (Labor, Rad, Lunge, EKG)],$B69,DatenHernie[Operationsart],$C69,DatenHernie[KH],"KH 1")</f>
        <v>4</v>
      </c>
      <c r="E69" s="7">
        <f>SUMIFS(DatenHernie[Anzahl],DatenHernie[Art der Leistung],$A69,DatenHernie[Kategorie (Labor, Rad, Lunge, EKG)],$B69,DatenHernie[Operationsart],$C69,DatenHernie[KH],"KH 2")</f>
        <v>0</v>
      </c>
      <c r="F69" s="10">
        <f t="shared" si="1"/>
        <v>4</v>
      </c>
      <c r="I69" s="14" t="s">
        <v>61</v>
      </c>
      <c r="J69" t="s">
        <v>7</v>
      </c>
      <c r="K69" s="7" t="s">
        <v>8</v>
      </c>
      <c r="L69" s="7">
        <v>0</v>
      </c>
      <c r="M69" s="7">
        <v>2</v>
      </c>
      <c r="N69" s="7">
        <f>AVERAGE(HernieVergleich[[#This Row],[Anzahl KH1]],HernieVergleich[[#This Row],[Anzahl KH2]])</f>
        <v>1</v>
      </c>
      <c r="O69" s="7">
        <f>ABS(HernieVergleich[[#This Row],[Anzahl KH1]]-HernieVergleich[[#This Row],[Anzahl KH2]])</f>
        <v>2</v>
      </c>
      <c r="P69" s="21">
        <f>IF(MAX(HernieVergleich[[#This Row],[Anzahl KH1]],HernieVergleich[[#This Row],[Anzahl KH2]])=0,0,ABS(HernieVergleich[[#This Row],[Anzahl KH1]]-HernieVergleich[[#This Row],[Anzahl KH2]])/MAX(HernieVergleich[[#This Row],[Anzahl KH1]],HernieVergleich[[#This Row],[Anzahl KH2]]))</f>
        <v>1</v>
      </c>
      <c r="Q69" s="7" t="str">
        <f>IF(MIN(HernieVergleich[[#This Row],[Anzahl KH1]],HernieVergleich[[#This Row],[Anzahl KH2]])=0,"∞",MAX(HernieVergleich[[#This Row],[Anzahl KH1]],HernieVergleich[[#This Row],[Anzahl KH2]])/MIN(HernieVergleich[[#This Row],[Anzahl KH1]],HernieVergleich[[#This Row],[Anzahl KH2]]))</f>
        <v>∞</v>
      </c>
      <c r="R69" s="7">
        <f>ABS(HernieVergleich[[#This Row],[Anzahl KH1]]-HernieVergleich[[#This Row],[Anzahl KH2]])*0.4</f>
        <v>0.8</v>
      </c>
    </row>
    <row r="70" spans="1:18" x14ac:dyDescent="0.3">
      <c r="A70" s="4" t="str">
        <v>US: Restharn</v>
      </c>
      <c r="B70" t="str" cm="1">
        <f t="array" ref="B70">_xlfn.XLOOKUP(A70,TRIM(DatenHernie[Art der Leistung]),DatenHernie[Kategorie (Labor, Rad, Lunge, EKG)],"")</f>
        <v>Radiologieleistungen</v>
      </c>
      <c r="C70" s="7" t="str" cm="1">
        <f t="array" ref="C70">_xlfn.XLOOKUP(A70,TRIM(DatenHernie[Art der Leistung]),DatenHernie[Operationsart],"")</f>
        <v>Hernie</v>
      </c>
      <c r="D70" s="7">
        <f>SUMIFS(DatenHernie[Anzahl],DatenHernie[Art der Leistung],$A70,DatenHernie[Kategorie (Labor, Rad, Lunge, EKG)],$B70,DatenHernie[Operationsart],$C70,DatenHernie[KH],"KH 1")</f>
        <v>3</v>
      </c>
      <c r="E70" s="7">
        <f>SUMIFS(DatenHernie[Anzahl],DatenHernie[Art der Leistung],$A70,DatenHernie[Kategorie (Labor, Rad, Lunge, EKG)],$B70,DatenHernie[Operationsart],$C70,DatenHernie[KH],"KH 2")</f>
        <v>0</v>
      </c>
      <c r="F70" s="10">
        <f t="shared" si="1"/>
        <v>3</v>
      </c>
      <c r="I70" s="14" t="s">
        <v>80</v>
      </c>
      <c r="J70" t="s">
        <v>63</v>
      </c>
      <c r="K70" s="7" t="s">
        <v>8</v>
      </c>
      <c r="L70" s="7">
        <v>3</v>
      </c>
      <c r="M70" s="7">
        <v>1</v>
      </c>
      <c r="N70" s="7">
        <f>AVERAGE(HernieVergleich[[#This Row],[Anzahl KH1]],HernieVergleich[[#This Row],[Anzahl KH2]])</f>
        <v>2</v>
      </c>
      <c r="O70" s="7">
        <f>ABS(HernieVergleich[[#This Row],[Anzahl KH1]]-HernieVergleich[[#This Row],[Anzahl KH2]])</f>
        <v>2</v>
      </c>
      <c r="P70" s="21">
        <f>IF(MAX(HernieVergleich[[#This Row],[Anzahl KH1]],HernieVergleich[[#This Row],[Anzahl KH2]])=0,0,ABS(HernieVergleich[[#This Row],[Anzahl KH1]]-HernieVergleich[[#This Row],[Anzahl KH2]])/MAX(HernieVergleich[[#This Row],[Anzahl KH1]],HernieVergleich[[#This Row],[Anzahl KH2]]))</f>
        <v>0.66666666666666663</v>
      </c>
      <c r="Q70" s="7">
        <f>IF(MIN(HernieVergleich[[#This Row],[Anzahl KH1]],HernieVergleich[[#This Row],[Anzahl KH2]])=0,"∞",MAX(HernieVergleich[[#This Row],[Anzahl KH1]],HernieVergleich[[#This Row],[Anzahl KH2]])/MIN(HernieVergleich[[#This Row],[Anzahl KH1]],HernieVergleich[[#This Row],[Anzahl KH2]]))</f>
        <v>3</v>
      </c>
      <c r="R70" s="7">
        <f>ABS(HernieVergleich[[#This Row],[Anzahl KH1]]-HernieVergleich[[#This Row],[Anzahl KH2]])*0.4</f>
        <v>0.8</v>
      </c>
    </row>
    <row r="71" spans="1:18" x14ac:dyDescent="0.3">
      <c r="A71" s="4" t="str">
        <v>US: Echokardiographie</v>
      </c>
      <c r="B71" t="str" cm="1">
        <f t="array" ref="B71">_xlfn.XLOOKUP(A71,TRIM(DatenHernie[Art der Leistung]),DatenHernie[Kategorie (Labor, Rad, Lunge, EKG)],"")</f>
        <v>Radiologieleistungen</v>
      </c>
      <c r="C71" s="7" t="str" cm="1">
        <f t="array" ref="C71">_xlfn.XLOOKUP(A71,TRIM(DatenHernie[Art der Leistung]),DatenHernie[Operationsart],"")</f>
        <v>Hernie</v>
      </c>
      <c r="D71" s="7">
        <f>SUMIFS(DatenHernie[Anzahl],DatenHernie[Art der Leistung],$A71,DatenHernie[Kategorie (Labor, Rad, Lunge, EKG)],$B71,DatenHernie[Operationsart],$C71,DatenHernie[KH],"KH 1")</f>
        <v>3</v>
      </c>
      <c r="E71" s="7">
        <f>SUMIFS(DatenHernie[Anzahl],DatenHernie[Art der Leistung],$A71,DatenHernie[Kategorie (Labor, Rad, Lunge, EKG)],$B71,DatenHernie[Operationsart],$C71,DatenHernie[KH],"KH 2")</f>
        <v>1</v>
      </c>
      <c r="F71" s="10">
        <f t="shared" si="1"/>
        <v>2</v>
      </c>
      <c r="I71" s="14" t="s">
        <v>82</v>
      </c>
      <c r="J71" t="s">
        <v>63</v>
      </c>
      <c r="K71" s="7" t="s">
        <v>8</v>
      </c>
      <c r="L71" s="7">
        <v>2</v>
      </c>
      <c r="M71" s="7">
        <v>0</v>
      </c>
      <c r="N71" s="7">
        <f>AVERAGE(HernieVergleich[[#This Row],[Anzahl KH1]],HernieVergleich[[#This Row],[Anzahl KH2]])</f>
        <v>1</v>
      </c>
      <c r="O71" s="7">
        <f>ABS(HernieVergleich[[#This Row],[Anzahl KH1]]-HernieVergleich[[#This Row],[Anzahl KH2]])</f>
        <v>2</v>
      </c>
      <c r="P71" s="21">
        <f>IF(MAX(HernieVergleich[[#This Row],[Anzahl KH1]],HernieVergleich[[#This Row],[Anzahl KH2]])=0,0,ABS(HernieVergleich[[#This Row],[Anzahl KH1]]-HernieVergleich[[#This Row],[Anzahl KH2]])/MAX(HernieVergleich[[#This Row],[Anzahl KH1]],HernieVergleich[[#This Row],[Anzahl KH2]]))</f>
        <v>1</v>
      </c>
      <c r="Q71" s="7" t="str">
        <f>IF(MIN(HernieVergleich[[#This Row],[Anzahl KH1]],HernieVergleich[[#This Row],[Anzahl KH2]])=0,"∞",MAX(HernieVergleich[[#This Row],[Anzahl KH1]],HernieVergleich[[#This Row],[Anzahl KH2]])/MIN(HernieVergleich[[#This Row],[Anzahl KH1]],HernieVergleich[[#This Row],[Anzahl KH2]]))</f>
        <v>∞</v>
      </c>
      <c r="R71" s="7">
        <f>ABS(HernieVergleich[[#This Row],[Anzahl KH1]]-HernieVergleich[[#This Row],[Anzahl KH2]])*0.4</f>
        <v>0.8</v>
      </c>
    </row>
    <row r="72" spans="1:18" x14ac:dyDescent="0.3">
      <c r="A72" s="4" t="str">
        <v>RÖ: Sprunggelenk</v>
      </c>
      <c r="B72" t="str" cm="1">
        <f t="array" ref="B72">_xlfn.XLOOKUP(A72,TRIM(DatenHernie[Art der Leistung]),DatenHernie[Kategorie (Labor, Rad, Lunge, EKG)],"")</f>
        <v>Radiologieleistungen</v>
      </c>
      <c r="C72" s="7" t="str" cm="1">
        <f t="array" ref="C72">_xlfn.XLOOKUP(A72,TRIM(DatenHernie[Art der Leistung]),DatenHernie[Operationsart],"")</f>
        <v>Hernie</v>
      </c>
      <c r="D72" s="7">
        <f>SUMIFS(DatenHernie[Anzahl],DatenHernie[Art der Leistung],$A72,DatenHernie[Kategorie (Labor, Rad, Lunge, EKG)],$B72,DatenHernie[Operationsart],$C72,DatenHernie[KH],"KH 1")</f>
        <v>2</v>
      </c>
      <c r="E72" s="7">
        <f>SUMIFS(DatenHernie[Anzahl],DatenHernie[Art der Leistung],$A72,DatenHernie[Kategorie (Labor, Rad, Lunge, EKG)],$B72,DatenHernie[Operationsart],$C72,DatenHernie[KH],"KH 2")</f>
        <v>1</v>
      </c>
      <c r="F72" s="10">
        <f t="shared" si="1"/>
        <v>1</v>
      </c>
      <c r="I72" s="14" t="s">
        <v>83</v>
      </c>
      <c r="J72" t="s">
        <v>63</v>
      </c>
      <c r="K72" s="7" t="s">
        <v>8</v>
      </c>
      <c r="L72" s="7">
        <v>2</v>
      </c>
      <c r="M72" s="7">
        <v>0</v>
      </c>
      <c r="N72" s="7">
        <f>AVERAGE(HernieVergleich[[#This Row],[Anzahl KH1]],HernieVergleich[[#This Row],[Anzahl KH2]])</f>
        <v>1</v>
      </c>
      <c r="O72" s="7">
        <f>ABS(HernieVergleich[[#This Row],[Anzahl KH1]]-HernieVergleich[[#This Row],[Anzahl KH2]])</f>
        <v>2</v>
      </c>
      <c r="P72" s="21">
        <f>IF(MAX(HernieVergleich[[#This Row],[Anzahl KH1]],HernieVergleich[[#This Row],[Anzahl KH2]])=0,0,ABS(HernieVergleich[[#This Row],[Anzahl KH1]]-HernieVergleich[[#This Row],[Anzahl KH2]])/MAX(HernieVergleich[[#This Row],[Anzahl KH1]],HernieVergleich[[#This Row],[Anzahl KH2]]))</f>
        <v>1</v>
      </c>
      <c r="Q72" s="7" t="str">
        <f>IF(MIN(HernieVergleich[[#This Row],[Anzahl KH1]],HernieVergleich[[#This Row],[Anzahl KH2]])=0,"∞",MAX(HernieVergleich[[#This Row],[Anzahl KH1]],HernieVergleich[[#This Row],[Anzahl KH2]])/MIN(HernieVergleich[[#This Row],[Anzahl KH1]],HernieVergleich[[#This Row],[Anzahl KH2]]))</f>
        <v>∞</v>
      </c>
      <c r="R72" s="7">
        <f>ABS(HernieVergleich[[#This Row],[Anzahl KH1]]-HernieVergleich[[#This Row],[Anzahl KH2]])*0.4</f>
        <v>0.8</v>
      </c>
    </row>
    <row r="73" spans="1:18" x14ac:dyDescent="0.3">
      <c r="A73" s="4" t="str">
        <v>US: männliche Genitale</v>
      </c>
      <c r="B73" t="str" cm="1">
        <f t="array" ref="B73">_xlfn.XLOOKUP(A73,TRIM(DatenHernie[Art der Leistung]),DatenHernie[Kategorie (Labor, Rad, Lunge, EKG)],"")</f>
        <v>Radiologieleistungen</v>
      </c>
      <c r="C73" s="7" t="str" cm="1">
        <f t="array" ref="C73">_xlfn.XLOOKUP(A73,TRIM(DatenHernie[Art der Leistung]),DatenHernie[Operationsart],"")</f>
        <v>Hernie</v>
      </c>
      <c r="D73" s="7">
        <f>SUMIFS(DatenHernie[Anzahl],DatenHernie[Art der Leistung],$A73,DatenHernie[Kategorie (Labor, Rad, Lunge, EKG)],$B73,DatenHernie[Operationsart],$C73,DatenHernie[KH],"KH 1")</f>
        <v>2</v>
      </c>
      <c r="E73" s="7">
        <f>SUMIFS(DatenHernie[Anzahl],DatenHernie[Art der Leistung],$A73,DatenHernie[Kategorie (Labor, Rad, Lunge, EKG)],$B73,DatenHernie[Operationsart],$C73,DatenHernie[KH],"KH 2")</f>
        <v>0</v>
      </c>
      <c r="F73" s="10">
        <f t="shared" si="1"/>
        <v>2</v>
      </c>
      <c r="I73" s="14" t="s">
        <v>84</v>
      </c>
      <c r="J73" t="s">
        <v>63</v>
      </c>
      <c r="K73" s="7" t="s">
        <v>8</v>
      </c>
      <c r="L73" s="7">
        <v>2</v>
      </c>
      <c r="M73" s="7">
        <v>0</v>
      </c>
      <c r="N73" s="7">
        <f>AVERAGE(HernieVergleich[[#This Row],[Anzahl KH1]],HernieVergleich[[#This Row],[Anzahl KH2]])</f>
        <v>1</v>
      </c>
      <c r="O73" s="7">
        <f>ABS(HernieVergleich[[#This Row],[Anzahl KH1]]-HernieVergleich[[#This Row],[Anzahl KH2]])</f>
        <v>2</v>
      </c>
      <c r="P73" s="21">
        <f>IF(MAX(HernieVergleich[[#This Row],[Anzahl KH1]],HernieVergleich[[#This Row],[Anzahl KH2]])=0,0,ABS(HernieVergleich[[#This Row],[Anzahl KH1]]-HernieVergleich[[#This Row],[Anzahl KH2]])/MAX(HernieVergleich[[#This Row],[Anzahl KH1]],HernieVergleich[[#This Row],[Anzahl KH2]]))</f>
        <v>1</v>
      </c>
      <c r="Q73" s="7" t="str">
        <f>IF(MIN(HernieVergleich[[#This Row],[Anzahl KH1]],HernieVergleich[[#This Row],[Anzahl KH2]])=0,"∞",MAX(HernieVergleich[[#This Row],[Anzahl KH1]],HernieVergleich[[#This Row],[Anzahl KH2]])/MIN(HernieVergleich[[#This Row],[Anzahl KH1]],HernieVergleich[[#This Row],[Anzahl KH2]]))</f>
        <v>∞</v>
      </c>
      <c r="R73" s="7">
        <f>ABS(HernieVergleich[[#This Row],[Anzahl KH1]]-HernieVergleich[[#This Row],[Anzahl KH2]])*0.4</f>
        <v>0.8</v>
      </c>
    </row>
    <row r="74" spans="1:18" x14ac:dyDescent="0.3">
      <c r="A74" s="4" t="str">
        <v>CT: Kopfstruktur</v>
      </c>
      <c r="B74" t="str" cm="1">
        <f t="array" ref="B74">_xlfn.XLOOKUP(A74,TRIM(DatenHernie[Art der Leistung]),DatenHernie[Kategorie (Labor, Rad, Lunge, EKG)],"")</f>
        <v>Radiologieleistungen</v>
      </c>
      <c r="C74" s="7" t="str" cm="1">
        <f t="array" ref="C74">_xlfn.XLOOKUP(A74,TRIM(DatenHernie[Art der Leistung]),DatenHernie[Operationsart],"")</f>
        <v>Hernie</v>
      </c>
      <c r="D74" s="7">
        <f>SUMIFS(DatenHernie[Anzahl],DatenHernie[Art der Leistung],$A74,DatenHernie[Kategorie (Labor, Rad, Lunge, EKG)],$B74,DatenHernie[Operationsart],$C74,DatenHernie[KH],"KH 1")</f>
        <v>2</v>
      </c>
      <c r="E74" s="7">
        <f>SUMIFS(DatenHernie[Anzahl],DatenHernie[Art der Leistung],$A74,DatenHernie[Kategorie (Labor, Rad, Lunge, EKG)],$B74,DatenHernie[Operationsart],$C74,DatenHernie[KH],"KH 2")</f>
        <v>0</v>
      </c>
      <c r="F74" s="10">
        <f t="shared" si="1"/>
        <v>2</v>
      </c>
      <c r="I74" s="14" t="s">
        <v>72</v>
      </c>
      <c r="J74" t="s">
        <v>63</v>
      </c>
      <c r="K74" s="7" t="s">
        <v>8</v>
      </c>
      <c r="L74" s="7">
        <v>6</v>
      </c>
      <c r="M74" s="7">
        <v>5</v>
      </c>
      <c r="N74" s="7">
        <f>AVERAGE(HernieVergleich[[#This Row],[Anzahl KH1]],HernieVergleich[[#This Row],[Anzahl KH2]])</f>
        <v>5.5</v>
      </c>
      <c r="O74" s="7">
        <f>ABS(HernieVergleich[[#This Row],[Anzahl KH1]]-HernieVergleich[[#This Row],[Anzahl KH2]])</f>
        <v>1</v>
      </c>
      <c r="P74" s="21">
        <f>IF(MAX(HernieVergleich[[#This Row],[Anzahl KH1]],HernieVergleich[[#This Row],[Anzahl KH2]])=0,0,ABS(HernieVergleich[[#This Row],[Anzahl KH1]]-HernieVergleich[[#This Row],[Anzahl KH2]])/MAX(HernieVergleich[[#This Row],[Anzahl KH1]],HernieVergleich[[#This Row],[Anzahl KH2]]))</f>
        <v>0.16666666666666666</v>
      </c>
      <c r="Q74" s="7">
        <f>IF(MIN(HernieVergleich[[#This Row],[Anzahl KH1]],HernieVergleich[[#This Row],[Anzahl KH2]])=0,"∞",MAX(HernieVergleich[[#This Row],[Anzahl KH1]],HernieVergleich[[#This Row],[Anzahl KH2]])/MIN(HernieVergleich[[#This Row],[Anzahl KH1]],HernieVergleich[[#This Row],[Anzahl KH2]]))</f>
        <v>1.2</v>
      </c>
      <c r="R74" s="7">
        <f>ABS(HernieVergleich[[#This Row],[Anzahl KH1]]-HernieVergleich[[#This Row],[Anzahl KH2]])*0.4</f>
        <v>0.4</v>
      </c>
    </row>
    <row r="75" spans="1:18" x14ac:dyDescent="0.3">
      <c r="A75" s="4" t="str">
        <v>US: Abdomen</v>
      </c>
      <c r="B75" t="str" cm="1">
        <f t="array" ref="B75">_xlfn.XLOOKUP(A75,TRIM(DatenHernie[Art der Leistung]),DatenHernie[Kategorie (Labor, Rad, Lunge, EKG)],"")</f>
        <v>Radiologieleistungen</v>
      </c>
      <c r="C75" s="7" t="str" cm="1">
        <f t="array" ref="C75">_xlfn.XLOOKUP(A75,TRIM(DatenHernie[Art der Leistung]),DatenHernie[Operationsart],"")</f>
        <v>Hernie</v>
      </c>
      <c r="D75" s="7">
        <f>SUMIFS(DatenHernie[Anzahl],DatenHernie[Art der Leistung],$A75,DatenHernie[Kategorie (Labor, Rad, Lunge, EKG)],$B75,DatenHernie[Operationsart],$C75,DatenHernie[KH],"KH 1")</f>
        <v>2</v>
      </c>
      <c r="E75" s="7">
        <f>SUMIFS(DatenHernie[Anzahl],DatenHernie[Art der Leistung],$A75,DatenHernie[Kategorie (Labor, Rad, Lunge, EKG)],$B75,DatenHernie[Operationsart],$C75,DatenHernie[KH],"KH 2")</f>
        <v>0</v>
      </c>
      <c r="F75" s="10">
        <f t="shared" si="1"/>
        <v>2</v>
      </c>
      <c r="I75" s="14" t="s">
        <v>81</v>
      </c>
      <c r="J75" t="s">
        <v>63</v>
      </c>
      <c r="K75" s="7" t="s">
        <v>8</v>
      </c>
      <c r="L75" s="7">
        <v>2</v>
      </c>
      <c r="M75" s="7">
        <v>1</v>
      </c>
      <c r="N75" s="7">
        <f>AVERAGE(HernieVergleich[[#This Row],[Anzahl KH1]],HernieVergleich[[#This Row],[Anzahl KH2]])</f>
        <v>1.5</v>
      </c>
      <c r="O75" s="7">
        <f>ABS(HernieVergleich[[#This Row],[Anzahl KH1]]-HernieVergleich[[#This Row],[Anzahl KH2]])</f>
        <v>1</v>
      </c>
      <c r="P75" s="21">
        <f>IF(MAX(HernieVergleich[[#This Row],[Anzahl KH1]],HernieVergleich[[#This Row],[Anzahl KH2]])=0,0,ABS(HernieVergleich[[#This Row],[Anzahl KH1]]-HernieVergleich[[#This Row],[Anzahl KH2]])/MAX(HernieVergleich[[#This Row],[Anzahl KH1]],HernieVergleich[[#This Row],[Anzahl KH2]]))</f>
        <v>0.5</v>
      </c>
      <c r="Q75" s="7">
        <f>IF(MIN(HernieVergleich[[#This Row],[Anzahl KH1]],HernieVergleich[[#This Row],[Anzahl KH2]])=0,"∞",MAX(HernieVergleich[[#This Row],[Anzahl KH1]],HernieVergleich[[#This Row],[Anzahl KH2]])/MIN(HernieVergleich[[#This Row],[Anzahl KH1]],HernieVergleich[[#This Row],[Anzahl KH2]]))</f>
        <v>2</v>
      </c>
      <c r="R75" s="7">
        <f>ABS(HernieVergleich[[#This Row],[Anzahl KH1]]-HernieVergleich[[#This Row],[Anzahl KH2]])*0.4</f>
        <v>0.4</v>
      </c>
    </row>
    <row r="76" spans="1:18" x14ac:dyDescent="0.3">
      <c r="A76" s="4" t="str">
        <v>RÖ: Hüfte</v>
      </c>
      <c r="B76" t="str" cm="1">
        <f t="array" ref="B76">_xlfn.XLOOKUP(A76,TRIM(DatenHernie[Art der Leistung]),DatenHernie[Kategorie (Labor, Rad, Lunge, EKG)],"")</f>
        <v>Radiologieleistungen</v>
      </c>
      <c r="C76" s="7" t="str" cm="1">
        <f t="array" ref="C76">_xlfn.XLOOKUP(A76,TRIM(DatenHernie[Art der Leistung]),DatenHernie[Operationsart],"")</f>
        <v>Hernie</v>
      </c>
      <c r="D76" s="7">
        <f>SUMIFS(DatenHernie[Anzahl],DatenHernie[Art der Leistung],$A76,DatenHernie[Kategorie (Labor, Rad, Lunge, EKG)],$B76,DatenHernie[Operationsart],$C76,DatenHernie[KH],"KH 1")</f>
        <v>1</v>
      </c>
      <c r="E76" s="7">
        <f>SUMIFS(DatenHernie[Anzahl],DatenHernie[Art der Leistung],$A76,DatenHernie[Kategorie (Labor, Rad, Lunge, EKG)],$B76,DatenHernie[Operationsart],$C76,DatenHernie[KH],"KH 2")</f>
        <v>0</v>
      </c>
      <c r="F76" s="10">
        <f t="shared" si="1"/>
        <v>1</v>
      </c>
      <c r="I76" s="14" t="s">
        <v>85</v>
      </c>
      <c r="J76" t="s">
        <v>63</v>
      </c>
      <c r="K76" s="7" t="s">
        <v>8</v>
      </c>
      <c r="L76" s="7">
        <v>1</v>
      </c>
      <c r="M76" s="7">
        <v>0</v>
      </c>
      <c r="N76" s="7">
        <f>AVERAGE(HernieVergleich[[#This Row],[Anzahl KH1]],HernieVergleich[[#This Row],[Anzahl KH2]])</f>
        <v>0.5</v>
      </c>
      <c r="O76" s="7">
        <f>ABS(HernieVergleich[[#This Row],[Anzahl KH1]]-HernieVergleich[[#This Row],[Anzahl KH2]])</f>
        <v>1</v>
      </c>
      <c r="P76" s="21">
        <f>IF(MAX(HernieVergleich[[#This Row],[Anzahl KH1]],HernieVergleich[[#This Row],[Anzahl KH2]])=0,0,ABS(HernieVergleich[[#This Row],[Anzahl KH1]]-HernieVergleich[[#This Row],[Anzahl KH2]])/MAX(HernieVergleich[[#This Row],[Anzahl KH1]],HernieVergleich[[#This Row],[Anzahl KH2]]))</f>
        <v>1</v>
      </c>
      <c r="Q76" s="7" t="str">
        <f>IF(MIN(HernieVergleich[[#This Row],[Anzahl KH1]],HernieVergleich[[#This Row],[Anzahl KH2]])=0,"∞",MAX(HernieVergleich[[#This Row],[Anzahl KH1]],HernieVergleich[[#This Row],[Anzahl KH2]])/MIN(HernieVergleich[[#This Row],[Anzahl KH1]],HernieVergleich[[#This Row],[Anzahl KH2]]))</f>
        <v>∞</v>
      </c>
      <c r="R76" s="7">
        <f>ABS(HernieVergleich[[#This Row],[Anzahl KH1]]-HernieVergleich[[#This Row],[Anzahl KH2]])*0.4</f>
        <v>0.4</v>
      </c>
    </row>
    <row r="77" spans="1:18" x14ac:dyDescent="0.3">
      <c r="A77" s="4" t="str">
        <v>X-ray consultation (procedure)</v>
      </c>
      <c r="B77" t="str" cm="1">
        <f t="array" ref="B77">_xlfn.XLOOKUP(A77,TRIM(DatenHernie[Art der Leistung]),DatenHernie[Kategorie (Labor, Rad, Lunge, EKG)],"")</f>
        <v>Radiologieleistungen</v>
      </c>
      <c r="C77" s="7" t="str" cm="1">
        <f t="array" ref="C77">_xlfn.XLOOKUP(A77,TRIM(DatenHernie[Art der Leistung]),DatenHernie[Operationsart],"")</f>
        <v>Hernie</v>
      </c>
      <c r="D77" s="7">
        <f>SUMIFS(DatenHernie[Anzahl],DatenHernie[Art der Leistung],$A77,DatenHernie[Kategorie (Labor, Rad, Lunge, EKG)],$B77,DatenHernie[Operationsart],$C77,DatenHernie[KH],"KH 1")</f>
        <v>1</v>
      </c>
      <c r="E77" s="7">
        <f>SUMIFS(DatenHernie[Anzahl],DatenHernie[Art der Leistung],$A77,DatenHernie[Kategorie (Labor, Rad, Lunge, EKG)],$B77,DatenHernie[Operationsart],$C77,DatenHernie[KH],"KH 2")</f>
        <v>0</v>
      </c>
      <c r="F77" s="10">
        <f t="shared" si="1"/>
        <v>1</v>
      </c>
      <c r="I77" s="14" t="s">
        <v>86</v>
      </c>
      <c r="J77" t="s">
        <v>63</v>
      </c>
      <c r="K77" s="7" t="s">
        <v>8</v>
      </c>
      <c r="L77" s="7">
        <v>1</v>
      </c>
      <c r="M77" s="7">
        <v>0</v>
      </c>
      <c r="N77" s="7">
        <f>AVERAGE(HernieVergleich[[#This Row],[Anzahl KH1]],HernieVergleich[[#This Row],[Anzahl KH2]])</f>
        <v>0.5</v>
      </c>
      <c r="O77" s="7">
        <f>ABS(HernieVergleich[[#This Row],[Anzahl KH1]]-HernieVergleich[[#This Row],[Anzahl KH2]])</f>
        <v>1</v>
      </c>
      <c r="P77" s="21">
        <f>IF(MAX(HernieVergleich[[#This Row],[Anzahl KH1]],HernieVergleich[[#This Row],[Anzahl KH2]])=0,0,ABS(HernieVergleich[[#This Row],[Anzahl KH1]]-HernieVergleich[[#This Row],[Anzahl KH2]])/MAX(HernieVergleich[[#This Row],[Anzahl KH1]],HernieVergleich[[#This Row],[Anzahl KH2]]))</f>
        <v>1</v>
      </c>
      <c r="Q77" s="7" t="str">
        <f>IF(MIN(HernieVergleich[[#This Row],[Anzahl KH1]],HernieVergleich[[#This Row],[Anzahl KH2]])=0,"∞",MAX(HernieVergleich[[#This Row],[Anzahl KH1]],HernieVergleich[[#This Row],[Anzahl KH2]])/MIN(HernieVergleich[[#This Row],[Anzahl KH1]],HernieVergleich[[#This Row],[Anzahl KH2]]))</f>
        <v>∞</v>
      </c>
      <c r="R77" s="7">
        <f>ABS(HernieVergleich[[#This Row],[Anzahl KH1]]-HernieVergleich[[#This Row],[Anzahl KH2]])*0.4</f>
        <v>0.4</v>
      </c>
    </row>
    <row r="78" spans="1:18" x14ac:dyDescent="0.3">
      <c r="A78" s="4" t="str">
        <v>US: Lymphknoten</v>
      </c>
      <c r="B78" t="str" cm="1">
        <f t="array" ref="B78">_xlfn.XLOOKUP(A78,TRIM(DatenHernie[Art der Leistung]),DatenHernie[Kategorie (Labor, Rad, Lunge, EKG)],"")</f>
        <v>Radiologieleistungen</v>
      </c>
      <c r="C78" s="7" t="str" cm="1">
        <f t="array" ref="C78">_xlfn.XLOOKUP(A78,TRIM(DatenHernie[Art der Leistung]),DatenHernie[Operationsart],"")</f>
        <v>Hernie</v>
      </c>
      <c r="D78" s="7">
        <f>SUMIFS(DatenHernie[Anzahl],DatenHernie[Art der Leistung],$A78,DatenHernie[Kategorie (Labor, Rad, Lunge, EKG)],$B78,DatenHernie[Operationsart],$C78,DatenHernie[KH],"KH 1")</f>
        <v>1</v>
      </c>
      <c r="E78" s="7">
        <f>SUMIFS(DatenHernie[Anzahl],DatenHernie[Art der Leistung],$A78,DatenHernie[Kategorie (Labor, Rad, Lunge, EKG)],$B78,DatenHernie[Operationsart],$C78,DatenHernie[KH],"KH 2")</f>
        <v>1</v>
      </c>
      <c r="F78" s="10">
        <f t="shared" si="1"/>
        <v>0</v>
      </c>
      <c r="I78" s="14" t="s">
        <v>88</v>
      </c>
      <c r="J78" t="s">
        <v>63</v>
      </c>
      <c r="K78" s="7" t="s">
        <v>8</v>
      </c>
      <c r="L78" s="7">
        <v>1</v>
      </c>
      <c r="M78" s="7">
        <v>0</v>
      </c>
      <c r="N78" s="7">
        <f>AVERAGE(HernieVergleich[[#This Row],[Anzahl KH1]],HernieVergleich[[#This Row],[Anzahl KH2]])</f>
        <v>0.5</v>
      </c>
      <c r="O78" s="7">
        <f>ABS(HernieVergleich[[#This Row],[Anzahl KH1]]-HernieVergleich[[#This Row],[Anzahl KH2]])</f>
        <v>1</v>
      </c>
      <c r="P78" s="21">
        <f>IF(MAX(HernieVergleich[[#This Row],[Anzahl KH1]],HernieVergleich[[#This Row],[Anzahl KH2]])=0,0,ABS(HernieVergleich[[#This Row],[Anzahl KH1]]-HernieVergleich[[#This Row],[Anzahl KH2]])/MAX(HernieVergleich[[#This Row],[Anzahl KH1]],HernieVergleich[[#This Row],[Anzahl KH2]]))</f>
        <v>1</v>
      </c>
      <c r="Q78" s="7" t="str">
        <f>IF(MIN(HernieVergleich[[#This Row],[Anzahl KH1]],HernieVergleich[[#This Row],[Anzahl KH2]])=0,"∞",MAX(HernieVergleich[[#This Row],[Anzahl KH1]],HernieVergleich[[#This Row],[Anzahl KH2]])/MIN(HernieVergleich[[#This Row],[Anzahl KH1]],HernieVergleich[[#This Row],[Anzahl KH2]]))</f>
        <v>∞</v>
      </c>
      <c r="R78" s="7">
        <f>ABS(HernieVergleich[[#This Row],[Anzahl KH1]]-HernieVergleich[[#This Row],[Anzahl KH2]])*0.4</f>
        <v>0.4</v>
      </c>
    </row>
    <row r="79" spans="1:18" x14ac:dyDescent="0.3">
      <c r="A79" s="4" t="str">
        <v>RÖ: Becken</v>
      </c>
      <c r="B79" t="str" cm="1">
        <f t="array" ref="B79">_xlfn.XLOOKUP(A79,TRIM(DatenHernie[Art der Leistung]),DatenHernie[Kategorie (Labor, Rad, Lunge, EKG)],"")</f>
        <v>Radiologieleistungen</v>
      </c>
      <c r="C79" s="7" t="str" cm="1">
        <f t="array" ref="C79">_xlfn.XLOOKUP(A79,TRIM(DatenHernie[Art der Leistung]),DatenHernie[Operationsart],"")</f>
        <v>Hernie</v>
      </c>
      <c r="D79" s="7">
        <f>SUMIFS(DatenHernie[Anzahl],DatenHernie[Art der Leistung],$A79,DatenHernie[Kategorie (Labor, Rad, Lunge, EKG)],$B79,DatenHernie[Operationsart],$C79,DatenHernie[KH],"KH 1")</f>
        <v>1</v>
      </c>
      <c r="E79" s="7">
        <f>SUMIFS(DatenHernie[Anzahl],DatenHernie[Art der Leistung],$A79,DatenHernie[Kategorie (Labor, Rad, Lunge, EKG)],$B79,DatenHernie[Operationsart],$C79,DatenHernie[KH],"KH 2")</f>
        <v>0</v>
      </c>
      <c r="F79" s="10">
        <f t="shared" si="1"/>
        <v>1</v>
      </c>
      <c r="I79" s="14" t="s">
        <v>89</v>
      </c>
      <c r="J79" t="s">
        <v>63</v>
      </c>
      <c r="K79" s="7" t="s">
        <v>8</v>
      </c>
      <c r="L79" s="7">
        <v>1</v>
      </c>
      <c r="M79" s="7">
        <v>0</v>
      </c>
      <c r="N79" s="7">
        <f>AVERAGE(HernieVergleich[[#This Row],[Anzahl KH1]],HernieVergleich[[#This Row],[Anzahl KH2]])</f>
        <v>0.5</v>
      </c>
      <c r="O79" s="7">
        <f>ABS(HernieVergleich[[#This Row],[Anzahl KH1]]-HernieVergleich[[#This Row],[Anzahl KH2]])</f>
        <v>1</v>
      </c>
      <c r="P79" s="21">
        <f>IF(MAX(HernieVergleich[[#This Row],[Anzahl KH1]],HernieVergleich[[#This Row],[Anzahl KH2]])=0,0,ABS(HernieVergleich[[#This Row],[Anzahl KH1]]-HernieVergleich[[#This Row],[Anzahl KH2]])/MAX(HernieVergleich[[#This Row],[Anzahl KH1]],HernieVergleich[[#This Row],[Anzahl KH2]]))</f>
        <v>1</v>
      </c>
      <c r="Q79" s="7" t="str">
        <f>IF(MIN(HernieVergleich[[#This Row],[Anzahl KH1]],HernieVergleich[[#This Row],[Anzahl KH2]])=0,"∞",MAX(HernieVergleich[[#This Row],[Anzahl KH1]],HernieVergleich[[#This Row],[Anzahl KH2]])/MIN(HernieVergleich[[#This Row],[Anzahl KH1]],HernieVergleich[[#This Row],[Anzahl KH2]]))</f>
        <v>∞</v>
      </c>
      <c r="R79" s="7">
        <f>ABS(HernieVergleich[[#This Row],[Anzahl KH1]]-HernieVergleich[[#This Row],[Anzahl KH2]])*0.4</f>
        <v>0.4</v>
      </c>
    </row>
    <row r="80" spans="1:18" x14ac:dyDescent="0.3">
      <c r="A80" s="4" t="str">
        <v>RÖ: Oberschenkel</v>
      </c>
      <c r="B80" t="str" cm="1">
        <f t="array" ref="B80">_xlfn.XLOOKUP(A80,TRIM(DatenHernie[Art der Leistung]),DatenHernie[Kategorie (Labor, Rad, Lunge, EKG)],"")</f>
        <v>Radiologieleistungen</v>
      </c>
      <c r="C80" s="7" t="str" cm="1">
        <f t="array" ref="C80">_xlfn.XLOOKUP(A80,TRIM(DatenHernie[Art der Leistung]),DatenHernie[Operationsart],"")</f>
        <v>Hernie</v>
      </c>
      <c r="D80" s="7">
        <f>SUMIFS(DatenHernie[Anzahl],DatenHernie[Art der Leistung],$A80,DatenHernie[Kategorie (Labor, Rad, Lunge, EKG)],$B80,DatenHernie[Operationsart],$C80,DatenHernie[KH],"KH 1")</f>
        <v>1</v>
      </c>
      <c r="E80" s="7">
        <f>SUMIFS(DatenHernie[Anzahl],DatenHernie[Art der Leistung],$A80,DatenHernie[Kategorie (Labor, Rad, Lunge, EKG)],$B80,DatenHernie[Operationsart],$C80,DatenHernie[KH],"KH 2")</f>
        <v>0</v>
      </c>
      <c r="F80" s="10">
        <f t="shared" si="1"/>
        <v>1</v>
      </c>
      <c r="I80" s="14" t="s">
        <v>90</v>
      </c>
      <c r="J80" t="s">
        <v>63</v>
      </c>
      <c r="K80" s="7" t="s">
        <v>8</v>
      </c>
      <c r="L80" s="7">
        <v>1</v>
      </c>
      <c r="M80" s="7">
        <v>0</v>
      </c>
      <c r="N80" s="7">
        <f>AVERAGE(HernieVergleich[[#This Row],[Anzahl KH1]],HernieVergleich[[#This Row],[Anzahl KH2]])</f>
        <v>0.5</v>
      </c>
      <c r="O80" s="7">
        <f>ABS(HernieVergleich[[#This Row],[Anzahl KH1]]-HernieVergleich[[#This Row],[Anzahl KH2]])</f>
        <v>1</v>
      </c>
      <c r="P80" s="21">
        <f>IF(MAX(HernieVergleich[[#This Row],[Anzahl KH1]],HernieVergleich[[#This Row],[Anzahl KH2]])=0,0,ABS(HernieVergleich[[#This Row],[Anzahl KH1]]-HernieVergleich[[#This Row],[Anzahl KH2]])/MAX(HernieVergleich[[#This Row],[Anzahl KH1]],HernieVergleich[[#This Row],[Anzahl KH2]]))</f>
        <v>1</v>
      </c>
      <c r="Q80" s="7" t="str">
        <f>IF(MIN(HernieVergleich[[#This Row],[Anzahl KH1]],HernieVergleich[[#This Row],[Anzahl KH2]])=0,"∞",MAX(HernieVergleich[[#This Row],[Anzahl KH1]],HernieVergleich[[#This Row],[Anzahl KH2]])/MIN(HernieVergleich[[#This Row],[Anzahl KH1]],HernieVergleich[[#This Row],[Anzahl KH2]]))</f>
        <v>∞</v>
      </c>
      <c r="R80" s="7">
        <f>ABS(HernieVergleich[[#This Row],[Anzahl KH1]]-HernieVergleich[[#This Row],[Anzahl KH2]])*0.4</f>
        <v>0.4</v>
      </c>
    </row>
    <row r="81" spans="1:18" x14ac:dyDescent="0.3">
      <c r="A81" s="4" t="str">
        <v>MR: intravenöse Kontrastmittelgabe</v>
      </c>
      <c r="B81" t="str" cm="1">
        <f t="array" ref="B81">_xlfn.XLOOKUP(A81,TRIM(DatenHernie[Art der Leistung]),DatenHernie[Kategorie (Labor, Rad, Lunge, EKG)],"")</f>
        <v>Radiologieleistungen</v>
      </c>
      <c r="C81" s="7" t="str" cm="1">
        <f t="array" ref="C81">_xlfn.XLOOKUP(A81,TRIM(DatenHernie[Art der Leistung]),DatenHernie[Operationsart],"")</f>
        <v>Hernie</v>
      </c>
      <c r="D81" s="7">
        <f>SUMIFS(DatenHernie[Anzahl],DatenHernie[Art der Leistung],$A81,DatenHernie[Kategorie (Labor, Rad, Lunge, EKG)],$B81,DatenHernie[Operationsart],$C81,DatenHernie[KH],"KH 1")</f>
        <v>1</v>
      </c>
      <c r="E81" s="7">
        <f>SUMIFS(DatenHernie[Anzahl],DatenHernie[Art der Leistung],$A81,DatenHernie[Kategorie (Labor, Rad, Lunge, EKG)],$B81,DatenHernie[Operationsart],$C81,DatenHernie[KH],"KH 2")</f>
        <v>0</v>
      </c>
      <c r="F81" s="10">
        <f t="shared" si="1"/>
        <v>1</v>
      </c>
      <c r="I81" s="14" t="s">
        <v>91</v>
      </c>
      <c r="J81" t="s">
        <v>63</v>
      </c>
      <c r="K81" s="7" t="s">
        <v>8</v>
      </c>
      <c r="L81" s="7">
        <v>1</v>
      </c>
      <c r="M81" s="7">
        <v>0</v>
      </c>
      <c r="N81" s="7">
        <f>AVERAGE(HernieVergleich[[#This Row],[Anzahl KH1]],HernieVergleich[[#This Row],[Anzahl KH2]])</f>
        <v>0.5</v>
      </c>
      <c r="O81" s="7">
        <f>ABS(HernieVergleich[[#This Row],[Anzahl KH1]]-HernieVergleich[[#This Row],[Anzahl KH2]])</f>
        <v>1</v>
      </c>
      <c r="P81" s="21">
        <f>IF(MAX(HernieVergleich[[#This Row],[Anzahl KH1]],HernieVergleich[[#This Row],[Anzahl KH2]])=0,0,ABS(HernieVergleich[[#This Row],[Anzahl KH1]]-HernieVergleich[[#This Row],[Anzahl KH2]])/MAX(HernieVergleich[[#This Row],[Anzahl KH1]],HernieVergleich[[#This Row],[Anzahl KH2]]))</f>
        <v>1</v>
      </c>
      <c r="Q81" s="7" t="str">
        <f>IF(MIN(HernieVergleich[[#This Row],[Anzahl KH1]],HernieVergleich[[#This Row],[Anzahl KH2]])=0,"∞",MAX(HernieVergleich[[#This Row],[Anzahl KH1]],HernieVergleich[[#This Row],[Anzahl KH2]])/MIN(HernieVergleich[[#This Row],[Anzahl KH1]],HernieVergleich[[#This Row],[Anzahl KH2]]))</f>
        <v>∞</v>
      </c>
      <c r="R81" s="7">
        <f>ABS(HernieVergleich[[#This Row],[Anzahl KH1]]-HernieVergleich[[#This Row],[Anzahl KH2]])*0.4</f>
        <v>0.4</v>
      </c>
    </row>
    <row r="82" spans="1:18" x14ac:dyDescent="0.3">
      <c r="A82" s="4" t="str">
        <v>RÖ: Extremitäten</v>
      </c>
      <c r="B82" t="str" cm="1">
        <f t="array" ref="B82">_xlfn.XLOOKUP(A82,TRIM(DatenHernie[Art der Leistung]),DatenHernie[Kategorie (Labor, Rad, Lunge, EKG)],"")</f>
        <v>Radiologieleistungen</v>
      </c>
      <c r="C82" s="7" t="str" cm="1">
        <f t="array" ref="C82">_xlfn.XLOOKUP(A82,TRIM(DatenHernie[Art der Leistung]),DatenHernie[Operationsart],"")</f>
        <v>Hernie</v>
      </c>
      <c r="D82" s="7">
        <f>SUMIFS(DatenHernie[Anzahl],DatenHernie[Art der Leistung],$A82,DatenHernie[Kategorie (Labor, Rad, Lunge, EKG)],$B82,DatenHernie[Operationsart],$C82,DatenHernie[KH],"KH 1")</f>
        <v>1</v>
      </c>
      <c r="E82" s="7">
        <f>SUMIFS(DatenHernie[Anzahl],DatenHernie[Art der Leistung],$A82,DatenHernie[Kategorie (Labor, Rad, Lunge, EKG)],$B82,DatenHernie[Operationsart],$C82,DatenHernie[KH],"KH 2")</f>
        <v>0</v>
      </c>
      <c r="F82" s="10">
        <f t="shared" si="1"/>
        <v>1</v>
      </c>
      <c r="I82" s="14" t="s">
        <v>92</v>
      </c>
      <c r="J82" t="s">
        <v>63</v>
      </c>
      <c r="K82" s="7" t="s">
        <v>8</v>
      </c>
      <c r="L82" s="7">
        <v>1</v>
      </c>
      <c r="M82" s="7">
        <v>0</v>
      </c>
      <c r="N82" s="7">
        <f>AVERAGE(HernieVergleich[[#This Row],[Anzahl KH1]],HernieVergleich[[#This Row],[Anzahl KH2]])</f>
        <v>0.5</v>
      </c>
      <c r="O82" s="7">
        <f>ABS(HernieVergleich[[#This Row],[Anzahl KH1]]-HernieVergleich[[#This Row],[Anzahl KH2]])</f>
        <v>1</v>
      </c>
      <c r="P82" s="21">
        <f>IF(MAX(HernieVergleich[[#This Row],[Anzahl KH1]],HernieVergleich[[#This Row],[Anzahl KH2]])=0,0,ABS(HernieVergleich[[#This Row],[Anzahl KH1]]-HernieVergleich[[#This Row],[Anzahl KH2]])/MAX(HernieVergleich[[#This Row],[Anzahl KH1]],HernieVergleich[[#This Row],[Anzahl KH2]]))</f>
        <v>1</v>
      </c>
      <c r="Q82" s="7" t="str">
        <f>IF(MIN(HernieVergleich[[#This Row],[Anzahl KH1]],HernieVergleich[[#This Row],[Anzahl KH2]])=0,"∞",MAX(HernieVergleich[[#This Row],[Anzahl KH1]],HernieVergleich[[#This Row],[Anzahl KH2]])/MIN(HernieVergleich[[#This Row],[Anzahl KH1]],HernieVergleich[[#This Row],[Anzahl KH2]]))</f>
        <v>∞</v>
      </c>
      <c r="R82" s="7">
        <f>ABS(HernieVergleich[[#This Row],[Anzahl KH1]]-HernieVergleich[[#This Row],[Anzahl KH2]])*0.4</f>
        <v>0.4</v>
      </c>
    </row>
    <row r="83" spans="1:18" x14ac:dyDescent="0.3">
      <c r="A83" s="4" t="str">
        <v>US: Prostata (transrektal)</v>
      </c>
      <c r="B83" t="str" cm="1">
        <f t="array" ref="B83">_xlfn.XLOOKUP(A83,TRIM(DatenHernie[Art der Leistung]),DatenHernie[Kategorie (Labor, Rad, Lunge, EKG)],"")</f>
        <v>Radiologieleistungen</v>
      </c>
      <c r="C83" s="7" t="str" cm="1">
        <f t="array" ref="C83">_xlfn.XLOOKUP(A83,TRIM(DatenHernie[Art der Leistung]),DatenHernie[Operationsart],"")</f>
        <v>Hernie</v>
      </c>
      <c r="D83" s="7">
        <f>SUMIFS(DatenHernie[Anzahl],DatenHernie[Art der Leistung],$A83,DatenHernie[Kategorie (Labor, Rad, Lunge, EKG)],$B83,DatenHernie[Operationsart],$C83,DatenHernie[KH],"KH 1")</f>
        <v>1</v>
      </c>
      <c r="E83" s="7">
        <f>SUMIFS(DatenHernie[Anzahl],DatenHernie[Art der Leistung],$A83,DatenHernie[Kategorie (Labor, Rad, Lunge, EKG)],$B83,DatenHernie[Operationsart],$C83,DatenHernie[KH],"KH 2")</f>
        <v>0</v>
      </c>
      <c r="F83" s="10">
        <f t="shared" si="1"/>
        <v>1</v>
      </c>
      <c r="I83" s="14" t="s">
        <v>93</v>
      </c>
      <c r="J83" t="s">
        <v>63</v>
      </c>
      <c r="K83" s="7" t="s">
        <v>8</v>
      </c>
      <c r="L83" s="7">
        <v>1</v>
      </c>
      <c r="M83" s="7">
        <v>0</v>
      </c>
      <c r="N83" s="7">
        <f>AVERAGE(HernieVergleich[[#This Row],[Anzahl KH1]],HernieVergleich[[#This Row],[Anzahl KH2]])</f>
        <v>0.5</v>
      </c>
      <c r="O83" s="7">
        <f>ABS(HernieVergleich[[#This Row],[Anzahl KH1]]-HernieVergleich[[#This Row],[Anzahl KH2]])</f>
        <v>1</v>
      </c>
      <c r="P83" s="21">
        <f>IF(MAX(HernieVergleich[[#This Row],[Anzahl KH1]],HernieVergleich[[#This Row],[Anzahl KH2]])=0,0,ABS(HernieVergleich[[#This Row],[Anzahl KH1]]-HernieVergleich[[#This Row],[Anzahl KH2]])/MAX(HernieVergleich[[#This Row],[Anzahl KH1]],HernieVergleich[[#This Row],[Anzahl KH2]]))</f>
        <v>1</v>
      </c>
      <c r="Q83" s="7" t="str">
        <f>IF(MIN(HernieVergleich[[#This Row],[Anzahl KH1]],HernieVergleich[[#This Row],[Anzahl KH2]])=0,"∞",MAX(HernieVergleich[[#This Row],[Anzahl KH1]],HernieVergleich[[#This Row],[Anzahl KH2]])/MIN(HernieVergleich[[#This Row],[Anzahl KH1]],HernieVergleich[[#This Row],[Anzahl KH2]]))</f>
        <v>∞</v>
      </c>
      <c r="R83" s="7">
        <f>ABS(HernieVergleich[[#This Row],[Anzahl KH1]]-HernieVergleich[[#This Row],[Anzahl KH2]])*0.4</f>
        <v>0.4</v>
      </c>
    </row>
    <row r="84" spans="1:18" x14ac:dyDescent="0.3">
      <c r="A84" s="4" t="str">
        <v>Angio: CT</v>
      </c>
      <c r="B84" t="str" cm="1">
        <f t="array" ref="B84">_xlfn.XLOOKUP(A84,TRIM(DatenHernie[Art der Leistung]),DatenHernie[Kategorie (Labor, Rad, Lunge, EKG)],"")</f>
        <v>Radiologieleistungen</v>
      </c>
      <c r="C84" s="7" t="str" cm="1">
        <f t="array" ref="C84">_xlfn.XLOOKUP(A84,TRIM(DatenHernie[Art der Leistung]),DatenHernie[Operationsart],"")</f>
        <v>Hernie</v>
      </c>
      <c r="D84" s="7">
        <f>SUMIFS(DatenHernie[Anzahl],DatenHernie[Art der Leistung],$A84,DatenHernie[Kategorie (Labor, Rad, Lunge, EKG)],$B84,DatenHernie[Operationsart],$C84,DatenHernie[KH],"KH 1")</f>
        <v>1</v>
      </c>
      <c r="E84" s="7">
        <f>SUMIFS(DatenHernie[Anzahl],DatenHernie[Art der Leistung],$A84,DatenHernie[Kategorie (Labor, Rad, Lunge, EKG)],$B84,DatenHernie[Operationsart],$C84,DatenHernie[KH],"KH 2")</f>
        <v>0</v>
      </c>
      <c r="F84" s="10">
        <f t="shared" si="1"/>
        <v>1</v>
      </c>
      <c r="I84" s="14" t="s">
        <v>94</v>
      </c>
      <c r="J84" t="s">
        <v>63</v>
      </c>
      <c r="K84" s="7" t="s">
        <v>8</v>
      </c>
      <c r="L84" s="7">
        <v>1</v>
      </c>
      <c r="M84" s="7">
        <v>0</v>
      </c>
      <c r="N84" s="7">
        <f>AVERAGE(HernieVergleich[[#This Row],[Anzahl KH1]],HernieVergleich[[#This Row],[Anzahl KH2]])</f>
        <v>0.5</v>
      </c>
      <c r="O84" s="7">
        <f>ABS(HernieVergleich[[#This Row],[Anzahl KH1]]-HernieVergleich[[#This Row],[Anzahl KH2]])</f>
        <v>1</v>
      </c>
      <c r="P84" s="21">
        <f>IF(MAX(HernieVergleich[[#This Row],[Anzahl KH1]],HernieVergleich[[#This Row],[Anzahl KH2]])=0,0,ABS(HernieVergleich[[#This Row],[Anzahl KH1]]-HernieVergleich[[#This Row],[Anzahl KH2]])/MAX(HernieVergleich[[#This Row],[Anzahl KH1]],HernieVergleich[[#This Row],[Anzahl KH2]]))</f>
        <v>1</v>
      </c>
      <c r="Q84" s="7" t="str">
        <f>IF(MIN(HernieVergleich[[#This Row],[Anzahl KH1]],HernieVergleich[[#This Row],[Anzahl KH2]])=0,"∞",MAX(HernieVergleich[[#This Row],[Anzahl KH1]],HernieVergleich[[#This Row],[Anzahl KH2]])/MIN(HernieVergleich[[#This Row],[Anzahl KH1]],HernieVergleich[[#This Row],[Anzahl KH2]]))</f>
        <v>∞</v>
      </c>
      <c r="R84" s="7">
        <f>ABS(HernieVergleich[[#This Row],[Anzahl KH1]]-HernieVergleich[[#This Row],[Anzahl KH2]])*0.4</f>
        <v>0.4</v>
      </c>
    </row>
    <row r="85" spans="1:18" x14ac:dyDescent="0.3">
      <c r="A85" s="4" t="str">
        <v>US: (transrektal)</v>
      </c>
      <c r="B85" t="str" cm="1">
        <f t="array" ref="B85">_xlfn.XLOOKUP(A85,TRIM(DatenHernie[Art der Leistung]),DatenHernie[Kategorie (Labor, Rad, Lunge, EKG)],"")</f>
        <v>Radiologieleistungen</v>
      </c>
      <c r="C85" s="7" t="str" cm="1">
        <f t="array" ref="C85">_xlfn.XLOOKUP(A85,TRIM(DatenHernie[Art der Leistung]),DatenHernie[Operationsart],"")</f>
        <v>Hernie</v>
      </c>
      <c r="D85" s="7">
        <f>SUMIFS(DatenHernie[Anzahl],DatenHernie[Art der Leistung],$A85,DatenHernie[Kategorie (Labor, Rad, Lunge, EKG)],$B85,DatenHernie[Operationsart],$C85,DatenHernie[KH],"KH 1")</f>
        <v>1</v>
      </c>
      <c r="E85" s="7">
        <f>SUMIFS(DatenHernie[Anzahl],DatenHernie[Art der Leistung],$A85,DatenHernie[Kategorie (Labor, Rad, Lunge, EKG)],$B85,DatenHernie[Operationsart],$C85,DatenHernie[KH],"KH 2")</f>
        <v>0</v>
      </c>
      <c r="F85" s="10">
        <f t="shared" si="1"/>
        <v>1</v>
      </c>
      <c r="I85" s="14" t="s">
        <v>95</v>
      </c>
      <c r="J85" t="s">
        <v>63</v>
      </c>
      <c r="K85" s="7" t="s">
        <v>8</v>
      </c>
      <c r="L85" s="7">
        <v>1</v>
      </c>
      <c r="M85" s="7">
        <v>0</v>
      </c>
      <c r="N85" s="7">
        <f>AVERAGE(HernieVergleich[[#This Row],[Anzahl KH1]],HernieVergleich[[#This Row],[Anzahl KH2]])</f>
        <v>0.5</v>
      </c>
      <c r="O85" s="7">
        <f>ABS(HernieVergleich[[#This Row],[Anzahl KH1]]-HernieVergleich[[#This Row],[Anzahl KH2]])</f>
        <v>1</v>
      </c>
      <c r="P85" s="21">
        <f>IF(MAX(HernieVergleich[[#This Row],[Anzahl KH1]],HernieVergleich[[#This Row],[Anzahl KH2]])=0,0,ABS(HernieVergleich[[#This Row],[Anzahl KH1]]-HernieVergleich[[#This Row],[Anzahl KH2]])/MAX(HernieVergleich[[#This Row],[Anzahl KH1]],HernieVergleich[[#This Row],[Anzahl KH2]]))</f>
        <v>1</v>
      </c>
      <c r="Q85" s="7" t="str">
        <f>IF(MIN(HernieVergleich[[#This Row],[Anzahl KH1]],HernieVergleich[[#This Row],[Anzahl KH2]])=0,"∞",MAX(HernieVergleich[[#This Row],[Anzahl KH1]],HernieVergleich[[#This Row],[Anzahl KH2]])/MIN(HernieVergleich[[#This Row],[Anzahl KH1]],HernieVergleich[[#This Row],[Anzahl KH2]]))</f>
        <v>∞</v>
      </c>
      <c r="R85" s="7">
        <f>ABS(HernieVergleich[[#This Row],[Anzahl KH1]]-HernieVergleich[[#This Row],[Anzahl KH2]])*0.4</f>
        <v>0.4</v>
      </c>
    </row>
    <row r="86" spans="1:18" x14ac:dyDescent="0.3">
      <c r="A86" s="4" t="str">
        <v>US: (mit Doppler)</v>
      </c>
      <c r="B86" t="str" cm="1">
        <f t="array" ref="B86">_xlfn.XLOOKUP(A86,TRIM(DatenHernie[Art der Leistung]),DatenHernie[Kategorie (Labor, Rad, Lunge, EKG)],"")</f>
        <v>Radiologieleistungen</v>
      </c>
      <c r="C86" s="7" t="str" cm="1">
        <f t="array" ref="C86">_xlfn.XLOOKUP(A86,TRIM(DatenHernie[Art der Leistung]),DatenHernie[Operationsart],"")</f>
        <v>Hernie</v>
      </c>
      <c r="D86" s="7">
        <f>SUMIFS(DatenHernie[Anzahl],DatenHernie[Art der Leistung],$A86,DatenHernie[Kategorie (Labor, Rad, Lunge, EKG)],$B86,DatenHernie[Operationsart],$C86,DatenHernie[KH],"KH 1")</f>
        <v>1</v>
      </c>
      <c r="E86" s="7">
        <f>SUMIFS(DatenHernie[Anzahl],DatenHernie[Art der Leistung],$A86,DatenHernie[Kategorie (Labor, Rad, Lunge, EKG)],$B86,DatenHernie[Operationsart],$C86,DatenHernie[KH],"KH 2")</f>
        <v>0</v>
      </c>
      <c r="F86" s="10">
        <f t="shared" si="1"/>
        <v>1</v>
      </c>
      <c r="I86" s="14" t="s">
        <v>96</v>
      </c>
      <c r="J86" t="s">
        <v>63</v>
      </c>
      <c r="K86" s="7" t="s">
        <v>8</v>
      </c>
      <c r="L86" s="7">
        <v>0</v>
      </c>
      <c r="M86" s="7">
        <v>1</v>
      </c>
      <c r="N86" s="7">
        <f>AVERAGE(HernieVergleich[[#This Row],[Anzahl KH1]],HernieVergleich[[#This Row],[Anzahl KH2]])</f>
        <v>0.5</v>
      </c>
      <c r="O86" s="7">
        <f>ABS(HernieVergleich[[#This Row],[Anzahl KH1]]-HernieVergleich[[#This Row],[Anzahl KH2]])</f>
        <v>1</v>
      </c>
      <c r="P86" s="21">
        <f>IF(MAX(HernieVergleich[[#This Row],[Anzahl KH1]],HernieVergleich[[#This Row],[Anzahl KH2]])=0,0,ABS(HernieVergleich[[#This Row],[Anzahl KH1]]-HernieVergleich[[#This Row],[Anzahl KH2]])/MAX(HernieVergleich[[#This Row],[Anzahl KH1]],HernieVergleich[[#This Row],[Anzahl KH2]]))</f>
        <v>1</v>
      </c>
      <c r="Q86" s="7" t="str">
        <f>IF(MIN(HernieVergleich[[#This Row],[Anzahl KH1]],HernieVergleich[[#This Row],[Anzahl KH2]])=0,"∞",MAX(HernieVergleich[[#This Row],[Anzahl KH1]],HernieVergleich[[#This Row],[Anzahl KH2]])/MIN(HernieVergleich[[#This Row],[Anzahl KH1]],HernieVergleich[[#This Row],[Anzahl KH2]]))</f>
        <v>∞</v>
      </c>
      <c r="R86" s="7">
        <f>ABS(HernieVergleich[[#This Row],[Anzahl KH1]]-HernieVergleich[[#This Row],[Anzahl KH2]])*0.4</f>
        <v>0.4</v>
      </c>
    </row>
    <row r="87" spans="1:18" x14ac:dyDescent="0.3">
      <c r="A87" s="4" t="str">
        <v>CT: Thorax</v>
      </c>
      <c r="B87" t="str" cm="1">
        <f t="array" ref="B87">_xlfn.XLOOKUP(A87,TRIM(DatenHernie[Art der Leistung]),DatenHernie[Kategorie (Labor, Rad, Lunge, EKG)],"")</f>
        <v>Radiologieleistungen</v>
      </c>
      <c r="C87" s="7" t="str" cm="1">
        <f t="array" ref="C87">_xlfn.XLOOKUP(A87,TRIM(DatenHernie[Art der Leistung]),DatenHernie[Operationsart],"")</f>
        <v>Hernie</v>
      </c>
      <c r="D87" s="7">
        <f>SUMIFS(DatenHernie[Anzahl],DatenHernie[Art der Leistung],$A87,DatenHernie[Kategorie (Labor, Rad, Lunge, EKG)],$B87,DatenHernie[Operationsart],$C87,DatenHernie[KH],"KH 1")</f>
        <v>0</v>
      </c>
      <c r="E87" s="7">
        <f>SUMIFS(DatenHernie[Anzahl],DatenHernie[Art der Leistung],$A87,DatenHernie[Kategorie (Labor, Rad, Lunge, EKG)],$B87,DatenHernie[Operationsart],$C87,DatenHernie[KH],"KH 2")</f>
        <v>1</v>
      </c>
      <c r="F87" s="10">
        <f t="shared" si="1"/>
        <v>1</v>
      </c>
      <c r="I87" s="14" t="s">
        <v>97</v>
      </c>
      <c r="J87" t="s">
        <v>63</v>
      </c>
      <c r="K87" s="7" t="s">
        <v>8</v>
      </c>
      <c r="L87" s="7">
        <v>0</v>
      </c>
      <c r="M87" s="7">
        <v>1</v>
      </c>
      <c r="N87" s="7">
        <f>AVERAGE(HernieVergleich[[#This Row],[Anzahl KH1]],HernieVergleich[[#This Row],[Anzahl KH2]])</f>
        <v>0.5</v>
      </c>
      <c r="O87" s="7">
        <f>ABS(HernieVergleich[[#This Row],[Anzahl KH1]]-HernieVergleich[[#This Row],[Anzahl KH2]])</f>
        <v>1</v>
      </c>
      <c r="P87" s="21">
        <f>IF(MAX(HernieVergleich[[#This Row],[Anzahl KH1]],HernieVergleich[[#This Row],[Anzahl KH2]])=0,0,ABS(HernieVergleich[[#This Row],[Anzahl KH1]]-HernieVergleich[[#This Row],[Anzahl KH2]])/MAX(HernieVergleich[[#This Row],[Anzahl KH1]],HernieVergleich[[#This Row],[Anzahl KH2]]))</f>
        <v>1</v>
      </c>
      <c r="Q87" s="7" t="str">
        <f>IF(MIN(HernieVergleich[[#This Row],[Anzahl KH1]],HernieVergleich[[#This Row],[Anzahl KH2]])=0,"∞",MAX(HernieVergleich[[#This Row],[Anzahl KH1]],HernieVergleich[[#This Row],[Anzahl KH2]])/MIN(HernieVergleich[[#This Row],[Anzahl KH1]],HernieVergleich[[#This Row],[Anzahl KH2]]))</f>
        <v>∞</v>
      </c>
      <c r="R87" s="7">
        <f>ABS(HernieVergleich[[#This Row],[Anzahl KH1]]-HernieVergleich[[#This Row],[Anzahl KH2]])*0.4</f>
        <v>0.4</v>
      </c>
    </row>
    <row r="88" spans="1:18" ht="15" thickBot="1" x14ac:dyDescent="0.35">
      <c r="A88" s="5" t="str">
        <v>US: Periphere Gefäße</v>
      </c>
      <c r="B88" s="3" t="str" cm="1">
        <f t="array" ref="B88">_xlfn.XLOOKUP(A88,TRIM(DatenHernie[Art der Leistung]),DatenHernie[Kategorie (Labor, Rad, Lunge, EKG)],"")</f>
        <v>Radiologieleistungen</v>
      </c>
      <c r="C88" s="8" t="str" cm="1">
        <f t="array" ref="C88">_xlfn.XLOOKUP(A88,TRIM(DatenHernie[Art der Leistung]),DatenHernie[Operationsart],"")</f>
        <v>Hernie</v>
      </c>
      <c r="D88" s="8">
        <f>SUMIFS(DatenHernie[Anzahl],DatenHernie[Art der Leistung],$A88,DatenHernie[Kategorie (Labor, Rad, Lunge, EKG)],$B88,DatenHernie[Operationsart],$C88,DatenHernie[KH],"KH 1")</f>
        <v>0</v>
      </c>
      <c r="E88" s="8">
        <f>SUMIFS(DatenHernie[Anzahl],DatenHernie[Art der Leistung],$A88,DatenHernie[Kategorie (Labor, Rad, Lunge, EKG)],$B88,DatenHernie[Operationsart],$C88,DatenHernie[KH],"KH 2")</f>
        <v>1</v>
      </c>
      <c r="F88" s="11">
        <f t="shared" si="1"/>
        <v>1</v>
      </c>
      <c r="I88" s="14" t="s">
        <v>87</v>
      </c>
      <c r="J88" t="s">
        <v>63</v>
      </c>
      <c r="K88" s="7" t="s">
        <v>8</v>
      </c>
      <c r="L88" s="7">
        <v>1</v>
      </c>
      <c r="M88" s="7">
        <v>1</v>
      </c>
      <c r="N88" s="7">
        <f>AVERAGE(HernieVergleich[[#This Row],[Anzahl KH1]],HernieVergleich[[#This Row],[Anzahl KH2]])</f>
        <v>1</v>
      </c>
      <c r="O88" s="7">
        <f>ABS(HernieVergleich[[#This Row],[Anzahl KH1]]-HernieVergleich[[#This Row],[Anzahl KH2]])</f>
        <v>0</v>
      </c>
      <c r="P88" s="21">
        <f>IF(MAX(HernieVergleich[[#This Row],[Anzahl KH1]],HernieVergleich[[#This Row],[Anzahl KH2]])=0,0,ABS(HernieVergleich[[#This Row],[Anzahl KH1]]-HernieVergleich[[#This Row],[Anzahl KH2]])/MAX(HernieVergleich[[#This Row],[Anzahl KH1]],HernieVergleich[[#This Row],[Anzahl KH2]]))</f>
        <v>0</v>
      </c>
      <c r="Q88" s="7">
        <f>IF(MIN(HernieVergleich[[#This Row],[Anzahl KH1]],HernieVergleich[[#This Row],[Anzahl KH2]])=0,"∞",MAX(HernieVergleich[[#This Row],[Anzahl KH1]],HernieVergleich[[#This Row],[Anzahl KH2]])/MIN(HernieVergleich[[#This Row],[Anzahl KH1]],HernieVergleich[[#This Row],[Anzahl KH2]]))</f>
        <v>1</v>
      </c>
      <c r="R88" s="7">
        <f>ABS(HernieVergleich[[#This Row],[Anzahl KH1]]-HernieVergleich[[#This Row],[Anzahl KH2]])*0.4</f>
        <v>0</v>
      </c>
    </row>
    <row r="142" spans="9:9" ht="23.4" x14ac:dyDescent="0.45">
      <c r="I142" s="19"/>
    </row>
  </sheetData>
  <phoneticPr fontId="3" type="noConversion"/>
  <pageMargins left="0.7" right="0.7" top="0.78740157499999996" bottom="0.78740157499999996" header="0.3" footer="0.3"/>
  <drawing r:id="rId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946C7-CF9F-41E8-80BC-B7251C39AA01}">
  <dimension ref="A1:E127"/>
  <sheetViews>
    <sheetView workbookViewId="0">
      <selection activeCell="I27" sqref="I27"/>
    </sheetView>
  </sheetViews>
  <sheetFormatPr baseColWidth="10" defaultColWidth="9.109375" defaultRowHeight="14.4" x14ac:dyDescent="0.3"/>
  <cols>
    <col min="1" max="1" width="66.109375" customWidth="1"/>
    <col min="2" max="2" width="20.88671875" customWidth="1"/>
    <col min="3" max="3" width="33.5546875" customWidth="1"/>
    <col min="4" max="4" width="15.44140625" customWidth="1"/>
    <col min="5" max="5" width="5.5546875" customWidth="1"/>
  </cols>
  <sheetData>
    <row r="1" spans="1:5" x14ac:dyDescent="0.3">
      <c r="A1" t="s">
        <v>0</v>
      </c>
      <c r="B1" t="s">
        <v>107</v>
      </c>
    </row>
    <row r="2" spans="1:5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3">
      <c r="A3" s="2" t="s">
        <v>10</v>
      </c>
      <c r="B3">
        <v>325</v>
      </c>
      <c r="C3" t="s">
        <v>7</v>
      </c>
      <c r="D3" t="s">
        <v>108</v>
      </c>
      <c r="E3" t="s">
        <v>49</v>
      </c>
    </row>
    <row r="4" spans="1:5" x14ac:dyDescent="0.3">
      <c r="A4" s="2" t="s">
        <v>6</v>
      </c>
      <c r="B4">
        <v>325</v>
      </c>
      <c r="C4" t="s">
        <v>7</v>
      </c>
      <c r="D4" t="s">
        <v>108</v>
      </c>
      <c r="E4" t="s">
        <v>49</v>
      </c>
    </row>
    <row r="5" spans="1:5" x14ac:dyDescent="0.3">
      <c r="A5" s="2" t="s">
        <v>34</v>
      </c>
      <c r="B5">
        <v>325</v>
      </c>
      <c r="C5" t="s">
        <v>7</v>
      </c>
      <c r="D5" t="s">
        <v>108</v>
      </c>
      <c r="E5" t="s">
        <v>49</v>
      </c>
    </row>
    <row r="6" spans="1:5" x14ac:dyDescent="0.3">
      <c r="A6" s="2" t="s">
        <v>11</v>
      </c>
      <c r="B6">
        <v>314</v>
      </c>
      <c r="C6" t="s">
        <v>7</v>
      </c>
      <c r="D6" t="s">
        <v>108</v>
      </c>
      <c r="E6" t="s">
        <v>49</v>
      </c>
    </row>
    <row r="7" spans="1:5" x14ac:dyDescent="0.3">
      <c r="A7" s="2" t="s">
        <v>12</v>
      </c>
      <c r="B7">
        <v>231</v>
      </c>
      <c r="C7" t="s">
        <v>7</v>
      </c>
      <c r="D7" t="s">
        <v>108</v>
      </c>
      <c r="E7" t="s">
        <v>49</v>
      </c>
    </row>
    <row r="8" spans="1:5" x14ac:dyDescent="0.3">
      <c r="A8" s="2" t="s">
        <v>25</v>
      </c>
      <c r="B8">
        <v>227</v>
      </c>
      <c r="C8" t="s">
        <v>7</v>
      </c>
      <c r="D8" t="s">
        <v>108</v>
      </c>
      <c r="E8" t="s">
        <v>49</v>
      </c>
    </row>
    <row r="9" spans="1:5" x14ac:dyDescent="0.3">
      <c r="A9" s="2" t="s">
        <v>24</v>
      </c>
      <c r="B9">
        <v>227</v>
      </c>
      <c r="C9" t="s">
        <v>7</v>
      </c>
      <c r="D9" t="s">
        <v>108</v>
      </c>
      <c r="E9" t="s">
        <v>49</v>
      </c>
    </row>
    <row r="10" spans="1:5" x14ac:dyDescent="0.3">
      <c r="A10" s="2" t="s">
        <v>23</v>
      </c>
      <c r="B10">
        <v>226</v>
      </c>
      <c r="C10" t="s">
        <v>7</v>
      </c>
      <c r="D10" t="s">
        <v>108</v>
      </c>
      <c r="E10" t="s">
        <v>49</v>
      </c>
    </row>
    <row r="11" spans="1:5" x14ac:dyDescent="0.3">
      <c r="A11" s="2" t="s">
        <v>22</v>
      </c>
      <c r="B11">
        <v>225</v>
      </c>
      <c r="C11" t="s">
        <v>7</v>
      </c>
      <c r="D11" t="s">
        <v>108</v>
      </c>
      <c r="E11" t="s">
        <v>49</v>
      </c>
    </row>
    <row r="12" spans="1:5" x14ac:dyDescent="0.3">
      <c r="A12" s="2" t="s">
        <v>21</v>
      </c>
      <c r="B12">
        <v>225</v>
      </c>
      <c r="C12" t="s">
        <v>7</v>
      </c>
      <c r="D12" t="s">
        <v>108</v>
      </c>
      <c r="E12" t="s">
        <v>49</v>
      </c>
    </row>
    <row r="13" spans="1:5" x14ac:dyDescent="0.3">
      <c r="A13" s="2" t="s">
        <v>20</v>
      </c>
      <c r="B13">
        <v>225</v>
      </c>
      <c r="C13" t="s">
        <v>7</v>
      </c>
      <c r="D13" t="s">
        <v>108</v>
      </c>
      <c r="E13" t="s">
        <v>49</v>
      </c>
    </row>
    <row r="14" spans="1:5" x14ac:dyDescent="0.3">
      <c r="A14" s="2" t="s">
        <v>50</v>
      </c>
      <c r="B14">
        <v>225</v>
      </c>
      <c r="C14" t="s">
        <v>7</v>
      </c>
      <c r="D14" t="s">
        <v>108</v>
      </c>
      <c r="E14" t="s">
        <v>49</v>
      </c>
    </row>
    <row r="15" spans="1:5" x14ac:dyDescent="0.3">
      <c r="A15" s="2" t="s">
        <v>28</v>
      </c>
      <c r="B15">
        <v>125</v>
      </c>
      <c r="C15" t="s">
        <v>7</v>
      </c>
      <c r="D15" t="s">
        <v>108</v>
      </c>
      <c r="E15" t="s">
        <v>49</v>
      </c>
    </row>
    <row r="16" spans="1:5" x14ac:dyDescent="0.3">
      <c r="A16" s="2" t="s">
        <v>36</v>
      </c>
      <c r="B16">
        <v>121</v>
      </c>
      <c r="C16" t="s">
        <v>7</v>
      </c>
      <c r="D16" t="s">
        <v>108</v>
      </c>
      <c r="E16" t="s">
        <v>49</v>
      </c>
    </row>
    <row r="17" spans="1:5" x14ac:dyDescent="0.3">
      <c r="A17" s="2" t="s">
        <v>13</v>
      </c>
      <c r="B17">
        <v>121</v>
      </c>
      <c r="C17" t="s">
        <v>7</v>
      </c>
      <c r="D17" t="s">
        <v>108</v>
      </c>
      <c r="E17" t="s">
        <v>49</v>
      </c>
    </row>
    <row r="18" spans="1:5" x14ac:dyDescent="0.3">
      <c r="A18" s="2" t="s">
        <v>19</v>
      </c>
      <c r="B18">
        <v>118</v>
      </c>
      <c r="C18" t="s">
        <v>7</v>
      </c>
      <c r="D18" t="s">
        <v>108</v>
      </c>
      <c r="E18" t="s">
        <v>49</v>
      </c>
    </row>
    <row r="19" spans="1:5" x14ac:dyDescent="0.3">
      <c r="A19" s="2" t="s">
        <v>18</v>
      </c>
      <c r="B19">
        <v>117</v>
      </c>
      <c r="C19" t="s">
        <v>7</v>
      </c>
      <c r="D19" t="s">
        <v>108</v>
      </c>
      <c r="E19" t="s">
        <v>49</v>
      </c>
    </row>
    <row r="20" spans="1:5" x14ac:dyDescent="0.3">
      <c r="A20" s="2" t="s">
        <v>16</v>
      </c>
      <c r="B20">
        <v>117</v>
      </c>
      <c r="C20" t="s">
        <v>7</v>
      </c>
      <c r="D20" t="s">
        <v>108</v>
      </c>
      <c r="E20" t="s">
        <v>49</v>
      </c>
    </row>
    <row r="21" spans="1:5" x14ac:dyDescent="0.3">
      <c r="A21" s="2" t="s">
        <v>17</v>
      </c>
      <c r="B21">
        <v>117</v>
      </c>
      <c r="C21" t="s">
        <v>7</v>
      </c>
      <c r="D21" t="s">
        <v>108</v>
      </c>
      <c r="E21" t="s">
        <v>49</v>
      </c>
    </row>
    <row r="22" spans="1:5" x14ac:dyDescent="0.3">
      <c r="A22" s="2" t="s">
        <v>35</v>
      </c>
      <c r="B22">
        <v>115</v>
      </c>
      <c r="C22" t="s">
        <v>7</v>
      </c>
      <c r="D22" t="s">
        <v>108</v>
      </c>
      <c r="E22" t="s">
        <v>49</v>
      </c>
    </row>
    <row r="23" spans="1:5" x14ac:dyDescent="0.3">
      <c r="A23" s="2" t="s">
        <v>14</v>
      </c>
      <c r="B23">
        <v>115</v>
      </c>
      <c r="C23" t="s">
        <v>7</v>
      </c>
      <c r="D23" t="s">
        <v>108</v>
      </c>
      <c r="E23" t="s">
        <v>49</v>
      </c>
    </row>
    <row r="24" spans="1:5" x14ac:dyDescent="0.3">
      <c r="A24" s="2" t="s">
        <v>15</v>
      </c>
      <c r="B24">
        <v>114</v>
      </c>
      <c r="C24" t="s">
        <v>7</v>
      </c>
      <c r="D24" t="s">
        <v>108</v>
      </c>
      <c r="E24" t="s">
        <v>49</v>
      </c>
    </row>
    <row r="25" spans="1:5" x14ac:dyDescent="0.3">
      <c r="A25" s="2" t="s">
        <v>26</v>
      </c>
      <c r="B25">
        <v>111</v>
      </c>
      <c r="C25" t="s">
        <v>7</v>
      </c>
      <c r="D25" t="s">
        <v>108</v>
      </c>
      <c r="E25" t="s">
        <v>49</v>
      </c>
    </row>
    <row r="26" spans="1:5" x14ac:dyDescent="0.3">
      <c r="A26" s="2" t="s">
        <v>41</v>
      </c>
      <c r="B26">
        <v>110</v>
      </c>
      <c r="C26" t="s">
        <v>7</v>
      </c>
      <c r="D26" t="s">
        <v>108</v>
      </c>
      <c r="E26" t="s">
        <v>49</v>
      </c>
    </row>
    <row r="27" spans="1:5" x14ac:dyDescent="0.3">
      <c r="A27" s="2" t="s">
        <v>48</v>
      </c>
      <c r="B27">
        <v>82</v>
      </c>
      <c r="C27" t="s">
        <v>7</v>
      </c>
      <c r="D27" t="s">
        <v>108</v>
      </c>
      <c r="E27" t="s">
        <v>49</v>
      </c>
    </row>
    <row r="28" spans="1:5" x14ac:dyDescent="0.3">
      <c r="A28" s="2" t="s">
        <v>45</v>
      </c>
      <c r="B28">
        <v>82</v>
      </c>
      <c r="C28" t="s">
        <v>7</v>
      </c>
      <c r="D28" t="s">
        <v>108</v>
      </c>
      <c r="E28" t="s">
        <v>49</v>
      </c>
    </row>
    <row r="29" spans="1:5" x14ac:dyDescent="0.3">
      <c r="A29" s="2" t="s">
        <v>44</v>
      </c>
      <c r="B29">
        <v>82</v>
      </c>
      <c r="C29" t="s">
        <v>7</v>
      </c>
      <c r="D29" t="s">
        <v>108</v>
      </c>
      <c r="E29" t="s">
        <v>49</v>
      </c>
    </row>
    <row r="30" spans="1:5" x14ac:dyDescent="0.3">
      <c r="A30" s="2" t="s">
        <v>30</v>
      </c>
      <c r="B30">
        <v>75</v>
      </c>
      <c r="C30" t="s">
        <v>7</v>
      </c>
      <c r="D30" t="s">
        <v>108</v>
      </c>
      <c r="E30" t="s">
        <v>49</v>
      </c>
    </row>
    <row r="31" spans="1:5" x14ac:dyDescent="0.3">
      <c r="A31" s="2" t="s">
        <v>29</v>
      </c>
      <c r="B31">
        <v>74</v>
      </c>
      <c r="C31" t="s">
        <v>7</v>
      </c>
      <c r="D31" t="s">
        <v>108</v>
      </c>
      <c r="E31" t="s">
        <v>49</v>
      </c>
    </row>
    <row r="32" spans="1:5" x14ac:dyDescent="0.3">
      <c r="A32" s="2" t="s">
        <v>32</v>
      </c>
      <c r="B32">
        <v>74</v>
      </c>
      <c r="C32" t="s">
        <v>7</v>
      </c>
      <c r="D32" t="s">
        <v>108</v>
      </c>
      <c r="E32" t="s">
        <v>49</v>
      </c>
    </row>
    <row r="33" spans="1:5" x14ac:dyDescent="0.3">
      <c r="A33" s="2" t="s">
        <v>54</v>
      </c>
      <c r="B33">
        <v>61</v>
      </c>
      <c r="C33" t="s">
        <v>7</v>
      </c>
      <c r="D33" t="s">
        <v>108</v>
      </c>
      <c r="E33" t="s">
        <v>49</v>
      </c>
    </row>
    <row r="34" spans="1:5" x14ac:dyDescent="0.3">
      <c r="A34" s="2" t="s">
        <v>55</v>
      </c>
      <c r="B34">
        <v>60</v>
      </c>
      <c r="C34" t="s">
        <v>7</v>
      </c>
      <c r="D34" t="s">
        <v>108</v>
      </c>
      <c r="E34" t="s">
        <v>49</v>
      </c>
    </row>
    <row r="35" spans="1:5" x14ac:dyDescent="0.3">
      <c r="A35" s="2" t="s">
        <v>109</v>
      </c>
      <c r="B35">
        <v>44</v>
      </c>
      <c r="C35" t="s">
        <v>7</v>
      </c>
      <c r="D35" t="s">
        <v>108</v>
      </c>
      <c r="E35" t="s">
        <v>49</v>
      </c>
    </row>
    <row r="36" spans="1:5" x14ac:dyDescent="0.3">
      <c r="A36" s="2" t="s">
        <v>110</v>
      </c>
      <c r="B36">
        <v>43</v>
      </c>
      <c r="C36" t="s">
        <v>7</v>
      </c>
      <c r="D36" t="s">
        <v>108</v>
      </c>
      <c r="E36" t="s">
        <v>49</v>
      </c>
    </row>
    <row r="37" spans="1:5" x14ac:dyDescent="0.3">
      <c r="A37" s="2" t="s">
        <v>111</v>
      </c>
      <c r="B37">
        <v>43</v>
      </c>
      <c r="C37" t="s">
        <v>7</v>
      </c>
      <c r="D37" t="s">
        <v>108</v>
      </c>
      <c r="E37" t="s">
        <v>49</v>
      </c>
    </row>
    <row r="38" spans="1:5" x14ac:dyDescent="0.3">
      <c r="A38" s="2" t="s">
        <v>57</v>
      </c>
      <c r="B38">
        <v>30</v>
      </c>
      <c r="C38" t="s">
        <v>7</v>
      </c>
      <c r="D38" t="s">
        <v>108</v>
      </c>
      <c r="E38" t="s">
        <v>49</v>
      </c>
    </row>
    <row r="39" spans="1:5" x14ac:dyDescent="0.3">
      <c r="A39" s="2" t="s">
        <v>112</v>
      </c>
      <c r="B39">
        <v>20</v>
      </c>
      <c r="C39" t="s">
        <v>7</v>
      </c>
      <c r="D39" t="s">
        <v>108</v>
      </c>
      <c r="E39" t="s">
        <v>49</v>
      </c>
    </row>
    <row r="40" spans="1:5" x14ac:dyDescent="0.3">
      <c r="A40" s="2" t="s">
        <v>27</v>
      </c>
      <c r="B40">
        <v>16</v>
      </c>
      <c r="C40" t="s">
        <v>7</v>
      </c>
      <c r="D40" t="s">
        <v>108</v>
      </c>
      <c r="E40" t="s">
        <v>49</v>
      </c>
    </row>
    <row r="41" spans="1:5" x14ac:dyDescent="0.3">
      <c r="A41" s="2" t="s">
        <v>52</v>
      </c>
      <c r="B41">
        <v>13</v>
      </c>
      <c r="C41" t="s">
        <v>7</v>
      </c>
      <c r="D41" t="s">
        <v>108</v>
      </c>
      <c r="E41" t="s">
        <v>49</v>
      </c>
    </row>
    <row r="42" spans="1:5" x14ac:dyDescent="0.3">
      <c r="A42" s="2" t="s">
        <v>51</v>
      </c>
      <c r="B42">
        <v>13</v>
      </c>
      <c r="C42" t="s">
        <v>7</v>
      </c>
      <c r="D42" t="s">
        <v>108</v>
      </c>
      <c r="E42" t="s">
        <v>49</v>
      </c>
    </row>
    <row r="43" spans="1:5" x14ac:dyDescent="0.3">
      <c r="A43" s="2" t="s">
        <v>73</v>
      </c>
      <c r="B43">
        <v>58</v>
      </c>
      <c r="C43" t="s">
        <v>63</v>
      </c>
      <c r="D43" t="s">
        <v>108</v>
      </c>
      <c r="E43" t="s">
        <v>49</v>
      </c>
    </row>
    <row r="44" spans="1:5" x14ac:dyDescent="0.3">
      <c r="A44" s="2" t="s">
        <v>75</v>
      </c>
      <c r="B44">
        <v>55</v>
      </c>
      <c r="C44" t="s">
        <v>63</v>
      </c>
      <c r="D44" t="s">
        <v>108</v>
      </c>
      <c r="E44" t="s">
        <v>49</v>
      </c>
    </row>
    <row r="45" spans="1:5" x14ac:dyDescent="0.3">
      <c r="A45" s="2" t="s">
        <v>76</v>
      </c>
      <c r="B45">
        <v>55</v>
      </c>
      <c r="C45" t="s">
        <v>63</v>
      </c>
      <c r="D45" t="s">
        <v>108</v>
      </c>
      <c r="E45" t="s">
        <v>49</v>
      </c>
    </row>
    <row r="46" spans="1:5" x14ac:dyDescent="0.3">
      <c r="A46" s="2" t="s">
        <v>62</v>
      </c>
      <c r="B46">
        <v>16</v>
      </c>
      <c r="C46" t="s">
        <v>63</v>
      </c>
      <c r="D46" t="s">
        <v>108</v>
      </c>
      <c r="E46" t="s">
        <v>49</v>
      </c>
    </row>
    <row r="47" spans="1:5" x14ac:dyDescent="0.3">
      <c r="A47" s="2" t="s">
        <v>64</v>
      </c>
      <c r="B47">
        <v>11</v>
      </c>
      <c r="C47" t="s">
        <v>63</v>
      </c>
      <c r="D47" t="s">
        <v>108</v>
      </c>
      <c r="E47" t="s">
        <v>49</v>
      </c>
    </row>
    <row r="48" spans="1:5" x14ac:dyDescent="0.3">
      <c r="A48" s="2" t="s">
        <v>71</v>
      </c>
      <c r="B48">
        <v>10</v>
      </c>
      <c r="C48" t="s">
        <v>63</v>
      </c>
      <c r="D48" t="s">
        <v>108</v>
      </c>
      <c r="E48" t="s">
        <v>49</v>
      </c>
    </row>
    <row r="49" spans="1:5" x14ac:dyDescent="0.3">
      <c r="A49" s="2" t="s">
        <v>77</v>
      </c>
      <c r="B49">
        <v>9</v>
      </c>
      <c r="C49" t="s">
        <v>63</v>
      </c>
      <c r="D49" t="s">
        <v>108</v>
      </c>
      <c r="E49" t="s">
        <v>49</v>
      </c>
    </row>
    <row r="50" spans="1:5" x14ac:dyDescent="0.3">
      <c r="A50" s="2" t="s">
        <v>69</v>
      </c>
      <c r="B50">
        <v>7</v>
      </c>
      <c r="C50" t="s">
        <v>63</v>
      </c>
      <c r="D50" t="s">
        <v>108</v>
      </c>
      <c r="E50" t="s">
        <v>49</v>
      </c>
    </row>
    <row r="51" spans="1:5" x14ac:dyDescent="0.3">
      <c r="A51" s="2" t="s">
        <v>113</v>
      </c>
      <c r="B51">
        <v>4</v>
      </c>
      <c r="C51" t="s">
        <v>63</v>
      </c>
      <c r="D51" t="s">
        <v>108</v>
      </c>
      <c r="E51" t="s">
        <v>49</v>
      </c>
    </row>
    <row r="52" spans="1:5" x14ac:dyDescent="0.3">
      <c r="A52" s="2" t="s">
        <v>80</v>
      </c>
      <c r="B52">
        <v>3</v>
      </c>
      <c r="C52" t="s">
        <v>63</v>
      </c>
      <c r="D52" t="s">
        <v>108</v>
      </c>
      <c r="E52" t="s">
        <v>49</v>
      </c>
    </row>
    <row r="53" spans="1:5" x14ac:dyDescent="0.3">
      <c r="A53" s="2" t="s">
        <v>67</v>
      </c>
      <c r="B53">
        <v>3</v>
      </c>
      <c r="C53" t="s">
        <v>63</v>
      </c>
      <c r="D53" t="s">
        <v>108</v>
      </c>
      <c r="E53" t="s">
        <v>49</v>
      </c>
    </row>
    <row r="54" spans="1:5" x14ac:dyDescent="0.3">
      <c r="A54" s="2" t="s">
        <v>68</v>
      </c>
      <c r="B54">
        <v>3</v>
      </c>
      <c r="C54" t="s">
        <v>63</v>
      </c>
      <c r="D54" t="s">
        <v>108</v>
      </c>
      <c r="E54" t="s">
        <v>49</v>
      </c>
    </row>
    <row r="55" spans="1:5" x14ac:dyDescent="0.3">
      <c r="A55" s="2" t="s">
        <v>114</v>
      </c>
      <c r="B55">
        <v>3</v>
      </c>
      <c r="C55" t="s">
        <v>63</v>
      </c>
      <c r="D55" t="s">
        <v>108</v>
      </c>
      <c r="E55" t="s">
        <v>49</v>
      </c>
    </row>
    <row r="56" spans="1:5" x14ac:dyDescent="0.3">
      <c r="A56" s="2" t="s">
        <v>65</v>
      </c>
      <c r="B56">
        <v>2</v>
      </c>
      <c r="C56" t="s">
        <v>63</v>
      </c>
      <c r="D56" t="s">
        <v>108</v>
      </c>
      <c r="E56" t="s">
        <v>49</v>
      </c>
    </row>
    <row r="57" spans="1:5" x14ac:dyDescent="0.3">
      <c r="A57" s="2" t="s">
        <v>70</v>
      </c>
      <c r="B57">
        <v>2</v>
      </c>
      <c r="C57" t="s">
        <v>63</v>
      </c>
      <c r="D57" t="s">
        <v>108</v>
      </c>
      <c r="E57" t="s">
        <v>49</v>
      </c>
    </row>
    <row r="58" spans="1:5" x14ac:dyDescent="0.3">
      <c r="A58" s="2" t="s">
        <v>115</v>
      </c>
      <c r="B58">
        <v>2</v>
      </c>
      <c r="C58" t="s">
        <v>63</v>
      </c>
      <c r="D58" t="s">
        <v>108</v>
      </c>
      <c r="E58" t="s">
        <v>49</v>
      </c>
    </row>
    <row r="59" spans="1:5" x14ac:dyDescent="0.3">
      <c r="A59" s="2" t="s">
        <v>66</v>
      </c>
      <c r="B59">
        <v>2</v>
      </c>
      <c r="C59" t="s">
        <v>63</v>
      </c>
      <c r="D59" t="s">
        <v>108</v>
      </c>
      <c r="E59" t="s">
        <v>49</v>
      </c>
    </row>
    <row r="60" spans="1:5" x14ac:dyDescent="0.3">
      <c r="A60" s="2" t="s">
        <v>116</v>
      </c>
      <c r="B60">
        <v>1</v>
      </c>
      <c r="C60" t="s">
        <v>63</v>
      </c>
      <c r="D60" t="s">
        <v>108</v>
      </c>
      <c r="E60" t="s">
        <v>49</v>
      </c>
    </row>
    <row r="61" spans="1:5" x14ac:dyDescent="0.3">
      <c r="A61" s="2" t="s">
        <v>117</v>
      </c>
      <c r="B61">
        <v>1</v>
      </c>
      <c r="C61" t="s">
        <v>63</v>
      </c>
      <c r="D61" t="s">
        <v>108</v>
      </c>
      <c r="E61" t="s">
        <v>49</v>
      </c>
    </row>
    <row r="62" spans="1:5" x14ac:dyDescent="0.3">
      <c r="A62" s="2" t="s">
        <v>88</v>
      </c>
      <c r="B62">
        <v>1</v>
      </c>
      <c r="C62" t="s">
        <v>63</v>
      </c>
      <c r="D62" t="s">
        <v>108</v>
      </c>
      <c r="E62" t="s">
        <v>49</v>
      </c>
    </row>
    <row r="63" spans="1:5" x14ac:dyDescent="0.3">
      <c r="A63" s="2" t="s">
        <v>118</v>
      </c>
      <c r="B63">
        <v>1</v>
      </c>
      <c r="C63" t="s">
        <v>63</v>
      </c>
      <c r="D63" t="s">
        <v>108</v>
      </c>
      <c r="E63" t="s">
        <v>49</v>
      </c>
    </row>
    <row r="64" spans="1:5" x14ac:dyDescent="0.3">
      <c r="A64" s="2" t="s">
        <v>119</v>
      </c>
      <c r="B64">
        <v>1</v>
      </c>
      <c r="C64" t="s">
        <v>63</v>
      </c>
      <c r="D64" t="s">
        <v>108</v>
      </c>
      <c r="E64" t="s">
        <v>49</v>
      </c>
    </row>
    <row r="65" spans="1:5" x14ac:dyDescent="0.3">
      <c r="A65" s="2" t="s">
        <v>97</v>
      </c>
      <c r="B65">
        <v>1</v>
      </c>
      <c r="C65" t="s">
        <v>63</v>
      </c>
      <c r="D65" t="s">
        <v>108</v>
      </c>
      <c r="E65" t="s">
        <v>49</v>
      </c>
    </row>
    <row r="66" spans="1:5" x14ac:dyDescent="0.3">
      <c r="A66" s="2" t="s">
        <v>85</v>
      </c>
      <c r="B66">
        <v>1</v>
      </c>
      <c r="C66" t="s">
        <v>63</v>
      </c>
      <c r="D66" t="s">
        <v>108</v>
      </c>
      <c r="E66" t="s">
        <v>49</v>
      </c>
    </row>
    <row r="67" spans="1:5" x14ac:dyDescent="0.3">
      <c r="A67" s="2" t="s">
        <v>120</v>
      </c>
      <c r="B67">
        <v>1</v>
      </c>
      <c r="C67" t="s">
        <v>63</v>
      </c>
      <c r="D67" t="s">
        <v>108</v>
      </c>
      <c r="E67" t="s">
        <v>49</v>
      </c>
    </row>
    <row r="68" spans="1:5" x14ac:dyDescent="0.3">
      <c r="A68" s="2" t="s">
        <v>6</v>
      </c>
      <c r="B68">
        <v>280</v>
      </c>
      <c r="C68" t="s">
        <v>7</v>
      </c>
      <c r="D68" t="s">
        <v>108</v>
      </c>
      <c r="E68" t="s">
        <v>9</v>
      </c>
    </row>
    <row r="69" spans="1:5" x14ac:dyDescent="0.3">
      <c r="A69" s="2" t="s">
        <v>10</v>
      </c>
      <c r="B69">
        <v>280</v>
      </c>
      <c r="C69" t="s">
        <v>7</v>
      </c>
      <c r="D69" t="s">
        <v>108</v>
      </c>
      <c r="E69" t="s">
        <v>9</v>
      </c>
    </row>
    <row r="70" spans="1:5" x14ac:dyDescent="0.3">
      <c r="A70" s="2" t="s">
        <v>12</v>
      </c>
      <c r="B70">
        <v>270</v>
      </c>
      <c r="C70" t="s">
        <v>7</v>
      </c>
      <c r="D70" t="s">
        <v>108</v>
      </c>
      <c r="E70" t="s">
        <v>9</v>
      </c>
    </row>
    <row r="71" spans="1:5" x14ac:dyDescent="0.3">
      <c r="A71" s="2" t="s">
        <v>21</v>
      </c>
      <c r="B71">
        <v>254</v>
      </c>
      <c r="C71" t="s">
        <v>7</v>
      </c>
      <c r="D71" t="s">
        <v>108</v>
      </c>
      <c r="E71" t="s">
        <v>9</v>
      </c>
    </row>
    <row r="72" spans="1:5" x14ac:dyDescent="0.3">
      <c r="A72" s="2" t="s">
        <v>22</v>
      </c>
      <c r="B72">
        <v>253</v>
      </c>
      <c r="C72" t="s">
        <v>7</v>
      </c>
      <c r="D72" t="s">
        <v>108</v>
      </c>
      <c r="E72" t="s">
        <v>9</v>
      </c>
    </row>
    <row r="73" spans="1:5" x14ac:dyDescent="0.3">
      <c r="A73" s="2" t="s">
        <v>23</v>
      </c>
      <c r="B73">
        <v>253</v>
      </c>
      <c r="C73" t="s">
        <v>7</v>
      </c>
      <c r="D73" t="s">
        <v>108</v>
      </c>
      <c r="E73" t="s">
        <v>9</v>
      </c>
    </row>
    <row r="74" spans="1:5" x14ac:dyDescent="0.3">
      <c r="A74" s="2" t="s">
        <v>24</v>
      </c>
      <c r="B74">
        <v>248</v>
      </c>
      <c r="C74" t="s">
        <v>7</v>
      </c>
      <c r="D74" t="s">
        <v>108</v>
      </c>
      <c r="E74" t="s">
        <v>9</v>
      </c>
    </row>
    <row r="75" spans="1:5" x14ac:dyDescent="0.3">
      <c r="A75" s="2" t="s">
        <v>20</v>
      </c>
      <c r="B75">
        <v>244</v>
      </c>
      <c r="C75" t="s">
        <v>7</v>
      </c>
      <c r="D75" t="s">
        <v>108</v>
      </c>
      <c r="E75" t="s">
        <v>9</v>
      </c>
    </row>
    <row r="76" spans="1:5" x14ac:dyDescent="0.3">
      <c r="A76" s="2" t="s">
        <v>25</v>
      </c>
      <c r="B76">
        <v>242</v>
      </c>
      <c r="C76" t="s">
        <v>7</v>
      </c>
      <c r="D76" t="s">
        <v>108</v>
      </c>
      <c r="E76" t="s">
        <v>9</v>
      </c>
    </row>
    <row r="77" spans="1:5" x14ac:dyDescent="0.3">
      <c r="A77" s="2" t="s">
        <v>11</v>
      </c>
      <c r="B77">
        <v>183</v>
      </c>
      <c r="C77" t="s">
        <v>7</v>
      </c>
      <c r="D77" t="s">
        <v>108</v>
      </c>
      <c r="E77" t="s">
        <v>9</v>
      </c>
    </row>
    <row r="78" spans="1:5" x14ac:dyDescent="0.3">
      <c r="A78" s="2" t="s">
        <v>14</v>
      </c>
      <c r="B78">
        <v>170</v>
      </c>
      <c r="C78" t="s">
        <v>7</v>
      </c>
      <c r="D78" t="s">
        <v>108</v>
      </c>
      <c r="E78" t="s">
        <v>9</v>
      </c>
    </row>
    <row r="79" spans="1:5" x14ac:dyDescent="0.3">
      <c r="A79" s="2" t="s">
        <v>15</v>
      </c>
      <c r="B79">
        <v>170</v>
      </c>
      <c r="C79" t="s">
        <v>7</v>
      </c>
      <c r="D79" t="s">
        <v>108</v>
      </c>
      <c r="E79" t="s">
        <v>9</v>
      </c>
    </row>
    <row r="80" spans="1:5" x14ac:dyDescent="0.3">
      <c r="A80" s="2" t="s">
        <v>18</v>
      </c>
      <c r="B80">
        <v>162</v>
      </c>
      <c r="C80" t="s">
        <v>7</v>
      </c>
      <c r="D80" t="s">
        <v>108</v>
      </c>
      <c r="E80" t="s">
        <v>9</v>
      </c>
    </row>
    <row r="81" spans="1:5" x14ac:dyDescent="0.3">
      <c r="A81" s="2" t="s">
        <v>17</v>
      </c>
      <c r="B81">
        <v>162</v>
      </c>
      <c r="C81" t="s">
        <v>7</v>
      </c>
      <c r="D81" t="s">
        <v>108</v>
      </c>
      <c r="E81" t="s">
        <v>9</v>
      </c>
    </row>
    <row r="82" spans="1:5" x14ac:dyDescent="0.3">
      <c r="A82" s="2" t="s">
        <v>16</v>
      </c>
      <c r="B82">
        <v>162</v>
      </c>
      <c r="C82" t="s">
        <v>7</v>
      </c>
      <c r="D82" t="s">
        <v>108</v>
      </c>
      <c r="E82" t="s">
        <v>9</v>
      </c>
    </row>
    <row r="83" spans="1:5" x14ac:dyDescent="0.3">
      <c r="A83" s="2" t="s">
        <v>19</v>
      </c>
      <c r="B83">
        <v>152</v>
      </c>
      <c r="C83" t="s">
        <v>7</v>
      </c>
      <c r="D83" t="s">
        <v>108</v>
      </c>
      <c r="E83" t="s">
        <v>9</v>
      </c>
    </row>
    <row r="84" spans="1:5" x14ac:dyDescent="0.3">
      <c r="A84" s="2" t="s">
        <v>32</v>
      </c>
      <c r="B84">
        <v>122</v>
      </c>
      <c r="C84" t="s">
        <v>7</v>
      </c>
      <c r="D84" t="s">
        <v>108</v>
      </c>
      <c r="E84" t="s">
        <v>9</v>
      </c>
    </row>
    <row r="85" spans="1:5" x14ac:dyDescent="0.3">
      <c r="A85" s="2" t="s">
        <v>30</v>
      </c>
      <c r="B85">
        <v>122</v>
      </c>
      <c r="C85" t="s">
        <v>7</v>
      </c>
      <c r="D85" t="s">
        <v>108</v>
      </c>
      <c r="E85" t="s">
        <v>9</v>
      </c>
    </row>
    <row r="86" spans="1:5" x14ac:dyDescent="0.3">
      <c r="A86" s="2" t="s">
        <v>35</v>
      </c>
      <c r="B86">
        <v>119</v>
      </c>
      <c r="C86" t="s">
        <v>7</v>
      </c>
      <c r="D86" t="s">
        <v>108</v>
      </c>
      <c r="E86" t="s">
        <v>9</v>
      </c>
    </row>
    <row r="87" spans="1:5" x14ac:dyDescent="0.3">
      <c r="A87" s="2" t="s">
        <v>13</v>
      </c>
      <c r="B87">
        <v>102</v>
      </c>
      <c r="C87" t="s">
        <v>7</v>
      </c>
      <c r="D87" t="s">
        <v>108</v>
      </c>
      <c r="E87" t="s">
        <v>9</v>
      </c>
    </row>
    <row r="88" spans="1:5" x14ac:dyDescent="0.3">
      <c r="A88" s="2" t="s">
        <v>34</v>
      </c>
      <c r="B88">
        <v>91</v>
      </c>
      <c r="C88" t="s">
        <v>7</v>
      </c>
      <c r="D88" t="s">
        <v>108</v>
      </c>
      <c r="E88" t="s">
        <v>9</v>
      </c>
    </row>
    <row r="89" spans="1:5" x14ac:dyDescent="0.3">
      <c r="A89" s="2" t="s">
        <v>27</v>
      </c>
      <c r="B89">
        <v>71</v>
      </c>
      <c r="C89" t="s">
        <v>7</v>
      </c>
      <c r="D89" t="s">
        <v>108</v>
      </c>
      <c r="E89" t="s">
        <v>9</v>
      </c>
    </row>
    <row r="90" spans="1:5" x14ac:dyDescent="0.3">
      <c r="A90" s="2" t="s">
        <v>48</v>
      </c>
      <c r="B90">
        <v>51</v>
      </c>
      <c r="C90" t="s">
        <v>7</v>
      </c>
      <c r="D90" t="s">
        <v>108</v>
      </c>
      <c r="E90" t="s">
        <v>9</v>
      </c>
    </row>
    <row r="91" spans="1:5" x14ac:dyDescent="0.3">
      <c r="A91" s="2" t="s">
        <v>45</v>
      </c>
      <c r="B91">
        <v>51</v>
      </c>
      <c r="C91" t="s">
        <v>7</v>
      </c>
      <c r="D91" t="s">
        <v>108</v>
      </c>
      <c r="E91" t="s">
        <v>9</v>
      </c>
    </row>
    <row r="92" spans="1:5" x14ac:dyDescent="0.3">
      <c r="A92" s="2" t="s">
        <v>54</v>
      </c>
      <c r="B92">
        <v>51</v>
      </c>
      <c r="C92" t="s">
        <v>7</v>
      </c>
      <c r="D92" t="s">
        <v>108</v>
      </c>
      <c r="E92" t="s">
        <v>9</v>
      </c>
    </row>
    <row r="93" spans="1:5" x14ac:dyDescent="0.3">
      <c r="A93" s="2" t="s">
        <v>44</v>
      </c>
      <c r="B93">
        <v>51</v>
      </c>
      <c r="C93" t="s">
        <v>7</v>
      </c>
      <c r="D93" t="s">
        <v>108</v>
      </c>
      <c r="E93" t="s">
        <v>9</v>
      </c>
    </row>
    <row r="94" spans="1:5" x14ac:dyDescent="0.3">
      <c r="A94" s="2" t="s">
        <v>26</v>
      </c>
      <c r="B94">
        <v>48</v>
      </c>
      <c r="C94" t="s">
        <v>7</v>
      </c>
      <c r="D94" t="s">
        <v>108</v>
      </c>
      <c r="E94" t="s">
        <v>9</v>
      </c>
    </row>
    <row r="95" spans="1:5" x14ac:dyDescent="0.3">
      <c r="A95" s="2" t="s">
        <v>28</v>
      </c>
      <c r="B95">
        <v>44</v>
      </c>
      <c r="C95" t="s">
        <v>7</v>
      </c>
      <c r="D95" t="s">
        <v>108</v>
      </c>
      <c r="E95" t="s">
        <v>9</v>
      </c>
    </row>
    <row r="96" spans="1:5" x14ac:dyDescent="0.3">
      <c r="A96" s="2" t="s">
        <v>29</v>
      </c>
      <c r="B96">
        <v>41</v>
      </c>
      <c r="C96" t="s">
        <v>7</v>
      </c>
      <c r="D96" t="s">
        <v>108</v>
      </c>
      <c r="E96" t="s">
        <v>9</v>
      </c>
    </row>
    <row r="97" spans="1:5" x14ac:dyDescent="0.3">
      <c r="A97" s="2" t="s">
        <v>31</v>
      </c>
      <c r="B97">
        <v>40</v>
      </c>
      <c r="C97" t="s">
        <v>7</v>
      </c>
      <c r="D97" t="s">
        <v>108</v>
      </c>
      <c r="E97" t="s">
        <v>9</v>
      </c>
    </row>
    <row r="98" spans="1:5" x14ac:dyDescent="0.3">
      <c r="A98" s="2" t="s">
        <v>38</v>
      </c>
      <c r="B98">
        <v>38</v>
      </c>
      <c r="C98" t="s">
        <v>7</v>
      </c>
      <c r="D98" t="s">
        <v>108</v>
      </c>
      <c r="E98" t="s">
        <v>9</v>
      </c>
    </row>
    <row r="99" spans="1:5" x14ac:dyDescent="0.3">
      <c r="A99" s="2" t="s">
        <v>41</v>
      </c>
      <c r="B99">
        <v>26</v>
      </c>
      <c r="C99" t="s">
        <v>7</v>
      </c>
      <c r="D99" t="s">
        <v>108</v>
      </c>
      <c r="E99" t="s">
        <v>9</v>
      </c>
    </row>
    <row r="100" spans="1:5" x14ac:dyDescent="0.3">
      <c r="A100" s="2" t="s">
        <v>109</v>
      </c>
      <c r="B100">
        <v>22</v>
      </c>
      <c r="C100" t="s">
        <v>7</v>
      </c>
      <c r="D100" t="s">
        <v>108</v>
      </c>
      <c r="E100" t="s">
        <v>9</v>
      </c>
    </row>
    <row r="101" spans="1:5" x14ac:dyDescent="0.3">
      <c r="A101" s="2" t="s">
        <v>55</v>
      </c>
      <c r="B101">
        <v>21</v>
      </c>
      <c r="C101" t="s">
        <v>7</v>
      </c>
      <c r="D101" t="s">
        <v>108</v>
      </c>
      <c r="E101" t="s">
        <v>9</v>
      </c>
    </row>
    <row r="102" spans="1:5" x14ac:dyDescent="0.3">
      <c r="A102" s="2" t="s">
        <v>110</v>
      </c>
      <c r="B102">
        <v>19</v>
      </c>
      <c r="C102" t="s">
        <v>7</v>
      </c>
      <c r="D102" t="s">
        <v>108</v>
      </c>
      <c r="E102" t="s">
        <v>9</v>
      </c>
    </row>
    <row r="103" spans="1:5" x14ac:dyDescent="0.3">
      <c r="A103" s="2" t="s">
        <v>111</v>
      </c>
      <c r="B103">
        <v>19</v>
      </c>
      <c r="C103" t="s">
        <v>7</v>
      </c>
      <c r="D103" t="s">
        <v>108</v>
      </c>
      <c r="E103" t="s">
        <v>9</v>
      </c>
    </row>
    <row r="104" spans="1:5" x14ac:dyDescent="0.3">
      <c r="A104" s="2" t="s">
        <v>36</v>
      </c>
      <c r="B104">
        <v>18</v>
      </c>
      <c r="C104" t="s">
        <v>7</v>
      </c>
      <c r="D104" t="s">
        <v>108</v>
      </c>
      <c r="E104" t="s">
        <v>9</v>
      </c>
    </row>
    <row r="105" spans="1:5" x14ac:dyDescent="0.3">
      <c r="A105" s="2" t="s">
        <v>33</v>
      </c>
      <c r="B105">
        <v>17</v>
      </c>
      <c r="C105" t="s">
        <v>7</v>
      </c>
      <c r="D105" t="s">
        <v>108</v>
      </c>
      <c r="E105" t="s">
        <v>9</v>
      </c>
    </row>
    <row r="106" spans="1:5" x14ac:dyDescent="0.3">
      <c r="A106" s="2" t="s">
        <v>46</v>
      </c>
      <c r="B106">
        <v>16</v>
      </c>
      <c r="C106" t="s">
        <v>7</v>
      </c>
      <c r="D106" t="s">
        <v>108</v>
      </c>
      <c r="E106" t="s">
        <v>9</v>
      </c>
    </row>
    <row r="107" spans="1:5" x14ac:dyDescent="0.3">
      <c r="A107" s="2" t="s">
        <v>57</v>
      </c>
      <c r="B107">
        <v>15</v>
      </c>
      <c r="C107" t="s">
        <v>7</v>
      </c>
      <c r="D107" t="s">
        <v>108</v>
      </c>
      <c r="E107" t="s">
        <v>9</v>
      </c>
    </row>
    <row r="108" spans="1:5" x14ac:dyDescent="0.3">
      <c r="A108" s="2" t="s">
        <v>73</v>
      </c>
      <c r="B108">
        <v>37</v>
      </c>
      <c r="C108" t="s">
        <v>63</v>
      </c>
      <c r="D108" t="s">
        <v>108</v>
      </c>
      <c r="E108" t="s">
        <v>9</v>
      </c>
    </row>
    <row r="109" spans="1:5" x14ac:dyDescent="0.3">
      <c r="A109" s="2" t="s">
        <v>76</v>
      </c>
      <c r="B109">
        <v>37</v>
      </c>
      <c r="C109" t="s">
        <v>63</v>
      </c>
      <c r="D109" t="s">
        <v>108</v>
      </c>
      <c r="E109" t="s">
        <v>9</v>
      </c>
    </row>
    <row r="110" spans="1:5" x14ac:dyDescent="0.3">
      <c r="A110" s="2" t="s">
        <v>75</v>
      </c>
      <c r="B110">
        <v>37</v>
      </c>
      <c r="C110" t="s">
        <v>63</v>
      </c>
      <c r="D110" t="s">
        <v>108</v>
      </c>
      <c r="E110" t="s">
        <v>9</v>
      </c>
    </row>
    <row r="111" spans="1:5" x14ac:dyDescent="0.3">
      <c r="A111" s="2" t="s">
        <v>62</v>
      </c>
      <c r="B111">
        <v>15</v>
      </c>
      <c r="C111" t="s">
        <v>63</v>
      </c>
      <c r="D111" t="s">
        <v>108</v>
      </c>
      <c r="E111" t="s">
        <v>9</v>
      </c>
    </row>
    <row r="112" spans="1:5" x14ac:dyDescent="0.3">
      <c r="A112" s="2" t="s">
        <v>64</v>
      </c>
      <c r="B112">
        <v>14</v>
      </c>
      <c r="C112" t="s">
        <v>63</v>
      </c>
      <c r="D112" t="s">
        <v>108</v>
      </c>
      <c r="E112" t="s">
        <v>9</v>
      </c>
    </row>
    <row r="113" spans="1:5" x14ac:dyDescent="0.3">
      <c r="A113" s="2" t="s">
        <v>77</v>
      </c>
      <c r="B113">
        <v>14</v>
      </c>
      <c r="C113" t="s">
        <v>63</v>
      </c>
      <c r="D113" t="s">
        <v>108</v>
      </c>
      <c r="E113" t="s">
        <v>9</v>
      </c>
    </row>
    <row r="114" spans="1:5" x14ac:dyDescent="0.3">
      <c r="A114" s="2" t="s">
        <v>69</v>
      </c>
      <c r="B114">
        <v>12</v>
      </c>
      <c r="C114" t="s">
        <v>63</v>
      </c>
      <c r="D114" t="s">
        <v>108</v>
      </c>
      <c r="E114" t="s">
        <v>9</v>
      </c>
    </row>
    <row r="115" spans="1:5" x14ac:dyDescent="0.3">
      <c r="A115" s="2" t="s">
        <v>71</v>
      </c>
      <c r="B115">
        <v>5</v>
      </c>
      <c r="C115" t="s">
        <v>63</v>
      </c>
      <c r="D115" t="s">
        <v>108</v>
      </c>
      <c r="E115" t="s">
        <v>9</v>
      </c>
    </row>
    <row r="116" spans="1:5" x14ac:dyDescent="0.3">
      <c r="A116" s="2" t="s">
        <v>68</v>
      </c>
      <c r="B116">
        <v>4</v>
      </c>
      <c r="C116" t="s">
        <v>63</v>
      </c>
      <c r="D116" t="s">
        <v>108</v>
      </c>
      <c r="E116" t="s">
        <v>9</v>
      </c>
    </row>
    <row r="117" spans="1:5" x14ac:dyDescent="0.3">
      <c r="A117" s="2" t="s">
        <v>121</v>
      </c>
      <c r="B117">
        <v>4</v>
      </c>
      <c r="C117" t="s">
        <v>63</v>
      </c>
      <c r="D117" t="s">
        <v>108</v>
      </c>
      <c r="E117" t="s">
        <v>9</v>
      </c>
    </row>
    <row r="118" spans="1:5" x14ac:dyDescent="0.3">
      <c r="A118" s="2" t="s">
        <v>67</v>
      </c>
      <c r="B118">
        <v>3</v>
      </c>
      <c r="C118" t="s">
        <v>63</v>
      </c>
      <c r="D118" t="s">
        <v>108</v>
      </c>
      <c r="E118" t="s">
        <v>9</v>
      </c>
    </row>
    <row r="119" spans="1:5" x14ac:dyDescent="0.3">
      <c r="A119" s="2" t="s">
        <v>122</v>
      </c>
      <c r="B119">
        <v>1</v>
      </c>
      <c r="C119" t="s">
        <v>63</v>
      </c>
      <c r="D119" t="s">
        <v>108</v>
      </c>
      <c r="E119" t="s">
        <v>9</v>
      </c>
    </row>
    <row r="120" spans="1:5" x14ac:dyDescent="0.3">
      <c r="A120" s="2" t="s">
        <v>123</v>
      </c>
      <c r="B120">
        <v>1</v>
      </c>
      <c r="C120" t="s">
        <v>63</v>
      </c>
      <c r="D120" t="s">
        <v>108</v>
      </c>
      <c r="E120" t="s">
        <v>9</v>
      </c>
    </row>
    <row r="121" spans="1:5" x14ac:dyDescent="0.3">
      <c r="A121" s="2" t="s">
        <v>124</v>
      </c>
      <c r="B121">
        <v>1</v>
      </c>
      <c r="C121" t="s">
        <v>63</v>
      </c>
      <c r="D121" t="s">
        <v>108</v>
      </c>
      <c r="E121" t="s">
        <v>9</v>
      </c>
    </row>
    <row r="122" spans="1:5" x14ac:dyDescent="0.3">
      <c r="A122" s="2" t="s">
        <v>90</v>
      </c>
      <c r="B122">
        <v>1</v>
      </c>
      <c r="C122" t="s">
        <v>63</v>
      </c>
      <c r="D122" t="s">
        <v>108</v>
      </c>
      <c r="E122" t="s">
        <v>9</v>
      </c>
    </row>
    <row r="123" spans="1:5" x14ac:dyDescent="0.3">
      <c r="A123" s="2" t="s">
        <v>125</v>
      </c>
      <c r="B123">
        <v>1</v>
      </c>
      <c r="C123" t="s">
        <v>63</v>
      </c>
      <c r="D123" t="s">
        <v>108</v>
      </c>
      <c r="E123" t="s">
        <v>9</v>
      </c>
    </row>
    <row r="124" spans="1:5" x14ac:dyDescent="0.3">
      <c r="A124" s="2" t="s">
        <v>94</v>
      </c>
      <c r="B124">
        <v>1</v>
      </c>
      <c r="C124" t="s">
        <v>63</v>
      </c>
      <c r="D124" t="s">
        <v>108</v>
      </c>
      <c r="E124" t="s">
        <v>9</v>
      </c>
    </row>
    <row r="125" spans="1:5" x14ac:dyDescent="0.3">
      <c r="A125" s="2" t="s">
        <v>126</v>
      </c>
      <c r="B125">
        <v>1</v>
      </c>
      <c r="C125" t="s">
        <v>63</v>
      </c>
      <c r="D125" t="s">
        <v>108</v>
      </c>
      <c r="E125" t="s">
        <v>9</v>
      </c>
    </row>
    <row r="126" spans="1:5" x14ac:dyDescent="0.3">
      <c r="A126" s="2" t="s">
        <v>97</v>
      </c>
      <c r="B126">
        <v>1</v>
      </c>
      <c r="C126" t="s">
        <v>63</v>
      </c>
      <c r="D126" t="s">
        <v>108</v>
      </c>
      <c r="E126" t="s">
        <v>9</v>
      </c>
    </row>
    <row r="127" spans="1:5" x14ac:dyDescent="0.3">
      <c r="A127" s="2" t="s">
        <v>127</v>
      </c>
      <c r="B127">
        <v>1</v>
      </c>
      <c r="C127" t="s">
        <v>63</v>
      </c>
      <c r="D127" t="s">
        <v>108</v>
      </c>
      <c r="E127" t="s">
        <v>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1BF2C-CA3C-44D0-80DB-4AE194F85672}">
  <dimension ref="A1:R142"/>
  <sheetViews>
    <sheetView tabSelected="1" topLeftCell="H22" zoomScale="55" zoomScaleNormal="55" workbookViewId="0">
      <selection activeCell="Q13" sqref="Q13"/>
    </sheetView>
  </sheetViews>
  <sheetFormatPr baseColWidth="10" defaultColWidth="11.44140625" defaultRowHeight="14.4" x14ac:dyDescent="0.3"/>
  <cols>
    <col min="1" max="1" width="70.5546875" hidden="1" customWidth="1"/>
    <col min="2" max="2" width="35.5546875" hidden="1" customWidth="1"/>
    <col min="3" max="3" width="17.44140625" hidden="1" customWidth="1"/>
    <col min="4" max="6" width="14.109375" hidden="1" customWidth="1"/>
    <col min="7" max="7" width="11.44140625" hidden="1" customWidth="1"/>
    <col min="9" max="9" width="74.109375" bestFit="1" customWidth="1"/>
    <col min="10" max="10" width="21.6640625" customWidth="1"/>
    <col min="11" max="11" width="26.44140625" bestFit="1" customWidth="1"/>
    <col min="12" max="12" width="22.44140625" bestFit="1" customWidth="1"/>
    <col min="13" max="13" width="23" bestFit="1" customWidth="1"/>
    <col min="14" max="14" width="24.88671875" bestFit="1" customWidth="1"/>
    <col min="15" max="15" width="19.44140625" bestFit="1" customWidth="1"/>
    <col min="16" max="16" width="33.44140625" bestFit="1" customWidth="1"/>
    <col min="17" max="17" width="33.44140625" customWidth="1"/>
    <col min="21" max="24" width="29.109375" bestFit="1" customWidth="1"/>
    <col min="51" max="51" width="15.88671875" customWidth="1"/>
  </cols>
  <sheetData>
    <row r="1" spans="1:18" ht="18.600000000000001" thickBot="1" x14ac:dyDescent="0.4">
      <c r="A1" s="12" t="s">
        <v>1</v>
      </c>
      <c r="B1" s="13" t="s">
        <v>98</v>
      </c>
      <c r="C1" s="13" t="s">
        <v>4</v>
      </c>
      <c r="D1" s="13" t="s">
        <v>99</v>
      </c>
      <c r="E1" s="13" t="s">
        <v>100</v>
      </c>
      <c r="F1" s="15"/>
      <c r="I1" s="16" t="s">
        <v>1</v>
      </c>
      <c r="J1" s="17" t="s">
        <v>98</v>
      </c>
      <c r="K1" s="17" t="s">
        <v>4</v>
      </c>
      <c r="L1" s="17" t="s">
        <v>99</v>
      </c>
      <c r="M1" s="17" t="s">
        <v>100</v>
      </c>
      <c r="N1" s="18" t="s">
        <v>102</v>
      </c>
      <c r="O1" s="18" t="s">
        <v>101</v>
      </c>
      <c r="P1" s="18" t="s">
        <v>104</v>
      </c>
      <c r="Q1" s="18" t="s">
        <v>105</v>
      </c>
      <c r="R1" s="18" t="s">
        <v>106</v>
      </c>
    </row>
    <row r="2" spans="1:18" ht="15" thickBot="1" x14ac:dyDescent="0.35">
      <c r="A2" s="4" t="str" cm="1">
        <f t="array" ref="A2:A79">_xlfn.UNIQUE(DatenGalle[Art der Leistung])</f>
        <v>Thrombozytenzählung</v>
      </c>
      <c r="B2" t="str" cm="1">
        <f t="array" ref="B2">_xlfn.XLOOKUP(A2,TRIM(DatenGalle[Art der Leistung]),DatenGalle[Kategorie (Labor, Rad, Lunge, EKG)],"")</f>
        <v>Laborleistungen</v>
      </c>
      <c r="C2" s="7" t="str" cm="1">
        <f t="array" ref="C2">_xlfn.XLOOKUP(A2,TRIM(DatenGalle[Art der Leistung]),DatenGalle[Operationsart],"")</f>
        <v>Galle</v>
      </c>
      <c r="D2" s="7">
        <f>SUMIFS(DatenGalle[Anzahl],DatenGalle[Art der Leistung],$A2,DatenGalle[Kategorie (Labor, Rad, Lunge, EKG)],$B2,DatenGalle[Operationsart],$C2,DatenGalle[KH],"KH 1")</f>
        <v>280</v>
      </c>
      <c r="E2" s="7">
        <f>SUMIFS(DatenGalle[Anzahl],DatenGalle[Art der Leistung],$A2,DatenGalle[Kategorie (Labor, Rad, Lunge, EKG)],$B2,DatenGalle[Operationsart],$C2,DatenGalle[KH],"KH 2")</f>
        <v>325</v>
      </c>
      <c r="F2" s="9"/>
      <c r="I2" s="14" t="s">
        <v>10</v>
      </c>
      <c r="J2" t="s">
        <v>7</v>
      </c>
      <c r="K2" s="7" t="s">
        <v>108</v>
      </c>
      <c r="L2" s="7">
        <v>280</v>
      </c>
      <c r="M2" s="7">
        <v>325</v>
      </c>
      <c r="N2" s="7">
        <f>AVERAGE(GalleVergleich[[#This Row],[Anzahl KH1]],GalleVergleich[[#This Row],[Anzahl KH2]])</f>
        <v>302.5</v>
      </c>
      <c r="O2" s="7">
        <f>ABS(GalleVergleich[[#This Row],[Anzahl KH1]]-GalleVergleich[[#This Row],[Anzahl KH2]])</f>
        <v>45</v>
      </c>
      <c r="P2" s="7">
        <f>IF(MAX(GalleVergleich[[#This Row],[Anzahl KH1]],GalleVergleich[[#This Row],[Anzahl KH2]])=0,0,ABS(GalleVergleich[[#This Row],[Anzahl KH1]]-GalleVergleich[[#This Row],[Anzahl KH2]])/MAX(GalleVergleich[[#This Row],[Anzahl KH1]],GalleVergleich[[#This Row],[Anzahl KH2]]))</f>
        <v>0.13846153846153847</v>
      </c>
      <c r="Q2" s="7">
        <f>IF(MIN(GalleVergleich[[#This Row],[Anzahl KH1]],GalleVergleich[[#This Row],[Anzahl KH2]])=0,"∞",MAX(GalleVergleich[[#This Row],[Anzahl KH1]],GalleVergleich[[#This Row],[Anzahl KH2]])/MIN(GalleVergleich[[#This Row],[Anzahl KH1]],GalleVergleich[[#This Row],[Anzahl KH2]]))</f>
        <v>1.1607142857142858</v>
      </c>
      <c r="R2" s="6">
        <f>ABS(GalleVergleich[[#This Row],[Anzahl KH1]]-GalleVergleich[[#This Row],[Anzahl KH2]])*0.35</f>
        <v>15.749999999999998</v>
      </c>
    </row>
    <row r="3" spans="1:18" ht="15" thickBot="1" x14ac:dyDescent="0.35">
      <c r="A3" s="4" t="str">
        <v>Bestimmung der Erythrozyten-Verteilungsbreite</v>
      </c>
      <c r="B3" t="str" cm="1">
        <f t="array" ref="B3">_xlfn.XLOOKUP(A3,TRIM(DatenGalle[Art der Leistung]),DatenGalle[Kategorie (Labor, Rad, Lunge, EKG)],"")</f>
        <v>Laborleistungen</v>
      </c>
      <c r="C3" s="7" t="str" cm="1">
        <f t="array" ref="C3">_xlfn.XLOOKUP(A3,TRIM(DatenGalle[Art der Leistung]),DatenGalle[Operationsart],"")</f>
        <v>Galle</v>
      </c>
      <c r="D3" s="7">
        <f>SUMIFS(DatenGalle[Anzahl],DatenGalle[Art der Leistung],$A3,DatenGalle[Kategorie (Labor, Rad, Lunge, EKG)],$B3,DatenGalle[Operationsart],$C3,DatenGalle[KH],"KH 1")</f>
        <v>280</v>
      </c>
      <c r="E3" s="7">
        <f>SUMIFS(DatenGalle[Anzahl],DatenGalle[Art der Leistung],$A3,DatenGalle[Kategorie (Labor, Rad, Lunge, EKG)],$B3,DatenGalle[Operationsart],$C3,DatenGalle[KH],"KH 2")</f>
        <v>325</v>
      </c>
      <c r="F3" s="10"/>
      <c r="I3" s="14" t="s">
        <v>6</v>
      </c>
      <c r="J3" t="s">
        <v>7</v>
      </c>
      <c r="K3" s="7" t="s">
        <v>108</v>
      </c>
      <c r="L3" s="7">
        <v>280</v>
      </c>
      <c r="M3" s="7">
        <v>325</v>
      </c>
      <c r="N3" s="7">
        <f>AVERAGE(GalleVergleich[[#This Row],[Anzahl KH1]],GalleVergleich[[#This Row],[Anzahl KH2]])</f>
        <v>302.5</v>
      </c>
      <c r="O3" s="7">
        <f>ABS(GalleVergleich[[#This Row],[Anzahl KH1]]-GalleVergleich[[#This Row],[Anzahl KH2]])</f>
        <v>45</v>
      </c>
      <c r="P3" s="7">
        <f>IF(MAX(GalleVergleich[[#This Row],[Anzahl KH1]],GalleVergleich[[#This Row],[Anzahl KH2]])=0,0,ABS(GalleVergleich[[#This Row],[Anzahl KH1]]-GalleVergleich[[#This Row],[Anzahl KH2]])/MAX(GalleVergleich[[#This Row],[Anzahl KH1]],GalleVergleich[[#This Row],[Anzahl KH2]]))</f>
        <v>0.13846153846153847</v>
      </c>
      <c r="Q3" s="7">
        <f>IF(MIN(GalleVergleich[[#This Row],[Anzahl KH1]],GalleVergleich[[#This Row],[Anzahl KH2]])=0,"∞",MAX(GalleVergleich[[#This Row],[Anzahl KH1]],GalleVergleich[[#This Row],[Anzahl KH2]])/MIN(GalleVergleich[[#This Row],[Anzahl KH1]],GalleVergleich[[#This Row],[Anzahl KH2]]))</f>
        <v>1.1607142857142858</v>
      </c>
      <c r="R3" s="6">
        <f>ABS(GalleVergleich[[#This Row],[Anzahl KH1]]-GalleVergleich[[#This Row],[Anzahl KH2]])*0.35</f>
        <v>15.749999999999998</v>
      </c>
    </row>
    <row r="4" spans="1:18" ht="15" thickBot="1" x14ac:dyDescent="0.35">
      <c r="A4" s="4" t="str">
        <v>Blutkörperchenzählung, automatisiert</v>
      </c>
      <c r="B4" t="str" cm="1">
        <f t="array" ref="B4">_xlfn.XLOOKUP(A4,TRIM(DatenGalle[Art der Leistung]),DatenGalle[Kategorie (Labor, Rad, Lunge, EKG)],"")</f>
        <v>Laborleistungen</v>
      </c>
      <c r="C4" s="7" t="str" cm="1">
        <f t="array" ref="C4">_xlfn.XLOOKUP(A4,TRIM(DatenGalle[Art der Leistung]),DatenGalle[Operationsart],"")</f>
        <v>Galle</v>
      </c>
      <c r="D4" s="7">
        <f>SUMIFS(DatenGalle[Anzahl],DatenGalle[Art der Leistung],$A4,DatenGalle[Kategorie (Labor, Rad, Lunge, EKG)],$B4,DatenGalle[Operationsart],$C4,DatenGalle[KH],"KH 1")</f>
        <v>91</v>
      </c>
      <c r="E4" s="7">
        <f>SUMIFS(DatenGalle[Anzahl],DatenGalle[Art der Leistung],$A4,DatenGalle[Kategorie (Labor, Rad, Lunge, EKG)],$B4,DatenGalle[Operationsart],$C4,DatenGalle[KH],"KH 2")</f>
        <v>325</v>
      </c>
      <c r="F4" s="10"/>
      <c r="I4" s="14" t="s">
        <v>34</v>
      </c>
      <c r="J4" t="s">
        <v>7</v>
      </c>
      <c r="K4" s="7" t="s">
        <v>108</v>
      </c>
      <c r="L4" s="7">
        <v>91</v>
      </c>
      <c r="M4" s="7">
        <v>325</v>
      </c>
      <c r="N4" s="7">
        <f>AVERAGE(GalleVergleich[[#This Row],[Anzahl KH1]],GalleVergleich[[#This Row],[Anzahl KH2]])</f>
        <v>208</v>
      </c>
      <c r="O4" s="7">
        <f>ABS(GalleVergleich[[#This Row],[Anzahl KH1]]-GalleVergleich[[#This Row],[Anzahl KH2]])</f>
        <v>234</v>
      </c>
      <c r="P4" s="7">
        <f>IF(MAX(GalleVergleich[[#This Row],[Anzahl KH1]],GalleVergleich[[#This Row],[Anzahl KH2]])=0,0,ABS(GalleVergleich[[#This Row],[Anzahl KH1]]-GalleVergleich[[#This Row],[Anzahl KH2]])/MAX(GalleVergleich[[#This Row],[Anzahl KH1]],GalleVergleich[[#This Row],[Anzahl KH2]]))</f>
        <v>0.72</v>
      </c>
      <c r="Q4" s="7">
        <f>IF(MIN(GalleVergleich[[#This Row],[Anzahl KH1]],GalleVergleich[[#This Row],[Anzahl KH2]])=0,"∞",MAX(GalleVergleich[[#This Row],[Anzahl KH1]],GalleVergleich[[#This Row],[Anzahl KH2]])/MIN(GalleVergleich[[#This Row],[Anzahl KH1]],GalleVergleich[[#This Row],[Anzahl KH2]]))</f>
        <v>3.5714285714285716</v>
      </c>
      <c r="R4" s="6">
        <f>ABS(GalleVergleich[[#This Row],[Anzahl KH1]]-GalleVergleich[[#This Row],[Anzahl KH2]])*0.35</f>
        <v>81.899999999999991</v>
      </c>
    </row>
    <row r="5" spans="1:18" ht="15" thickBot="1" x14ac:dyDescent="0.35">
      <c r="A5" s="4" t="str">
        <v>Bestimmung des prozentualen Anteils der Leukozyten im Differenzialblutbild</v>
      </c>
      <c r="B5" t="str" cm="1">
        <f t="array" ref="B5">_xlfn.XLOOKUP(A5,TRIM(DatenGalle[Art der Leistung]),DatenGalle[Kategorie (Labor, Rad, Lunge, EKG)],"")</f>
        <v>Laborleistungen</v>
      </c>
      <c r="C5" s="7" t="str" cm="1">
        <f t="array" ref="C5">_xlfn.XLOOKUP(A5,TRIM(DatenGalle[Art der Leistung]),DatenGalle[Operationsart],"")</f>
        <v>Galle</v>
      </c>
      <c r="D5" s="7">
        <f>SUMIFS(DatenGalle[Anzahl],DatenGalle[Art der Leistung],$A5,DatenGalle[Kategorie (Labor, Rad, Lunge, EKG)],$B5,DatenGalle[Operationsart],$C5,DatenGalle[KH],"KH 1")</f>
        <v>183</v>
      </c>
      <c r="E5" s="7">
        <f>SUMIFS(DatenGalle[Anzahl],DatenGalle[Art der Leistung],$A5,DatenGalle[Kategorie (Labor, Rad, Lunge, EKG)],$B5,DatenGalle[Operationsart],$C5,DatenGalle[KH],"KH 2")</f>
        <v>314</v>
      </c>
      <c r="F5" s="10"/>
      <c r="I5" s="14" t="s">
        <v>11</v>
      </c>
      <c r="J5" t="s">
        <v>7</v>
      </c>
      <c r="K5" s="7" t="s">
        <v>108</v>
      </c>
      <c r="L5" s="7">
        <v>183</v>
      </c>
      <c r="M5" s="7">
        <v>314</v>
      </c>
      <c r="N5" s="7">
        <f>AVERAGE(GalleVergleich[[#This Row],[Anzahl KH1]],GalleVergleich[[#This Row],[Anzahl KH2]])</f>
        <v>248.5</v>
      </c>
      <c r="O5" s="7">
        <f>ABS(GalleVergleich[[#This Row],[Anzahl KH1]]-GalleVergleich[[#This Row],[Anzahl KH2]])</f>
        <v>131</v>
      </c>
      <c r="P5" s="7">
        <f>IF(MAX(GalleVergleich[[#This Row],[Anzahl KH1]],GalleVergleich[[#This Row],[Anzahl KH2]])=0,0,ABS(GalleVergleich[[#This Row],[Anzahl KH1]]-GalleVergleich[[#This Row],[Anzahl KH2]])/MAX(GalleVergleich[[#This Row],[Anzahl KH1]],GalleVergleich[[#This Row],[Anzahl KH2]]))</f>
        <v>0.41719745222929938</v>
      </c>
      <c r="Q5" s="7">
        <f>IF(MIN(GalleVergleich[[#This Row],[Anzahl KH1]],GalleVergleich[[#This Row],[Anzahl KH2]])=0,"∞",MAX(GalleVergleich[[#This Row],[Anzahl KH1]],GalleVergleich[[#This Row],[Anzahl KH2]])/MIN(GalleVergleich[[#This Row],[Anzahl KH1]],GalleVergleich[[#This Row],[Anzahl KH2]]))</f>
        <v>1.715846994535519</v>
      </c>
      <c r="R5" s="6">
        <f>ABS(GalleVergleich[[#This Row],[Anzahl KH1]]-GalleVergleich[[#This Row],[Anzahl KH2]])*0.35</f>
        <v>45.849999999999994</v>
      </c>
    </row>
    <row r="6" spans="1:18" ht="15" thickBot="1" x14ac:dyDescent="0.35">
      <c r="A6" s="4" t="str">
        <v>Bestimmung von C-reaktivem Protein</v>
      </c>
      <c r="B6" t="str" cm="1">
        <f t="array" ref="B6">_xlfn.XLOOKUP(A6,TRIM(DatenGalle[Art der Leistung]),DatenGalle[Kategorie (Labor, Rad, Lunge, EKG)],"")</f>
        <v>Laborleistungen</v>
      </c>
      <c r="C6" s="7" t="str" cm="1">
        <f t="array" ref="C6">_xlfn.XLOOKUP(A6,TRIM(DatenGalle[Art der Leistung]),DatenGalle[Operationsart],"")</f>
        <v>Galle</v>
      </c>
      <c r="D6" s="7">
        <f>SUMIFS(DatenGalle[Anzahl],DatenGalle[Art der Leistung],$A6,DatenGalle[Kategorie (Labor, Rad, Lunge, EKG)],$B6,DatenGalle[Operationsart],$C6,DatenGalle[KH],"KH 1")</f>
        <v>270</v>
      </c>
      <c r="E6" s="7">
        <f>SUMIFS(DatenGalle[Anzahl],DatenGalle[Art der Leistung],$A6,DatenGalle[Kategorie (Labor, Rad, Lunge, EKG)],$B6,DatenGalle[Operationsart],$C6,DatenGalle[KH],"KH 2")</f>
        <v>231</v>
      </c>
      <c r="F6" s="10"/>
      <c r="I6" s="14" t="s">
        <v>12</v>
      </c>
      <c r="J6" t="s">
        <v>7</v>
      </c>
      <c r="K6" s="7" t="s">
        <v>108</v>
      </c>
      <c r="L6" s="7">
        <v>270</v>
      </c>
      <c r="M6" s="7">
        <v>231</v>
      </c>
      <c r="N6" s="7">
        <f>AVERAGE(GalleVergleich[[#This Row],[Anzahl KH1]],GalleVergleich[[#This Row],[Anzahl KH2]])</f>
        <v>250.5</v>
      </c>
      <c r="O6" s="7">
        <f>ABS(GalleVergleich[[#This Row],[Anzahl KH1]]-GalleVergleich[[#This Row],[Anzahl KH2]])</f>
        <v>39</v>
      </c>
      <c r="P6" s="7">
        <f>IF(MAX(GalleVergleich[[#This Row],[Anzahl KH1]],GalleVergleich[[#This Row],[Anzahl KH2]])=0,0,ABS(GalleVergleich[[#This Row],[Anzahl KH1]]-GalleVergleich[[#This Row],[Anzahl KH2]])/MAX(GalleVergleich[[#This Row],[Anzahl KH1]],GalleVergleich[[#This Row],[Anzahl KH2]]))</f>
        <v>0.14444444444444443</v>
      </c>
      <c r="Q6" s="7">
        <f>IF(MIN(GalleVergleich[[#This Row],[Anzahl KH1]],GalleVergleich[[#This Row],[Anzahl KH2]])=0,"∞",MAX(GalleVergleich[[#This Row],[Anzahl KH1]],GalleVergleich[[#This Row],[Anzahl KH2]])/MIN(GalleVergleich[[#This Row],[Anzahl KH1]],GalleVergleich[[#This Row],[Anzahl KH2]]))</f>
        <v>1.1688311688311688</v>
      </c>
      <c r="R6" s="6">
        <f>ABS(GalleVergleich[[#This Row],[Anzahl KH1]]-GalleVergleich[[#This Row],[Anzahl KH2]])*0.35</f>
        <v>13.649999999999999</v>
      </c>
    </row>
    <row r="7" spans="1:18" ht="15" thickBot="1" x14ac:dyDescent="0.35">
      <c r="A7" s="4" t="str">
        <v>Laktatdehydrogenasebestimmung</v>
      </c>
      <c r="B7" t="str" cm="1">
        <f t="array" ref="B7">_xlfn.XLOOKUP(A7,TRIM(DatenGalle[Art der Leistung]),DatenGalle[Kategorie (Labor, Rad, Lunge, EKG)],"")</f>
        <v>Laborleistungen</v>
      </c>
      <c r="C7" s="7" t="str" cm="1">
        <f t="array" ref="C7">_xlfn.XLOOKUP(A7,TRIM(DatenGalle[Art der Leistung]),DatenGalle[Operationsart],"")</f>
        <v>Galle</v>
      </c>
      <c r="D7" s="7">
        <f>SUMIFS(DatenGalle[Anzahl],DatenGalle[Art der Leistung],$A7,DatenGalle[Kategorie (Labor, Rad, Lunge, EKG)],$B7,DatenGalle[Operationsart],$C7,DatenGalle[KH],"KH 1")</f>
        <v>242</v>
      </c>
      <c r="E7" s="7">
        <f>SUMIFS(DatenGalle[Anzahl],DatenGalle[Art der Leistung],$A7,DatenGalle[Kategorie (Labor, Rad, Lunge, EKG)],$B7,DatenGalle[Operationsart],$C7,DatenGalle[KH],"KH 2")</f>
        <v>227</v>
      </c>
      <c r="F7" s="10"/>
      <c r="I7" s="14" t="s">
        <v>25</v>
      </c>
      <c r="J7" t="s">
        <v>7</v>
      </c>
      <c r="K7" s="7" t="s">
        <v>108</v>
      </c>
      <c r="L7" s="7">
        <v>242</v>
      </c>
      <c r="M7" s="7">
        <v>227</v>
      </c>
      <c r="N7" s="7">
        <f>AVERAGE(GalleVergleich[[#This Row],[Anzahl KH1]],GalleVergleich[[#This Row],[Anzahl KH2]])</f>
        <v>234.5</v>
      </c>
      <c r="O7" s="7">
        <f>ABS(GalleVergleich[[#This Row],[Anzahl KH1]]-GalleVergleich[[#This Row],[Anzahl KH2]])</f>
        <v>15</v>
      </c>
      <c r="P7" s="7">
        <f>IF(MAX(GalleVergleich[[#This Row],[Anzahl KH1]],GalleVergleich[[#This Row],[Anzahl KH2]])=0,0,ABS(GalleVergleich[[#This Row],[Anzahl KH1]]-GalleVergleich[[#This Row],[Anzahl KH2]])/MAX(GalleVergleich[[#This Row],[Anzahl KH1]],GalleVergleich[[#This Row],[Anzahl KH2]]))</f>
        <v>6.1983471074380167E-2</v>
      </c>
      <c r="Q7" s="7">
        <f>IF(MIN(GalleVergleich[[#This Row],[Anzahl KH1]],GalleVergleich[[#This Row],[Anzahl KH2]])=0,"∞",MAX(GalleVergleich[[#This Row],[Anzahl KH1]],GalleVergleich[[#This Row],[Anzahl KH2]])/MIN(GalleVergleich[[#This Row],[Anzahl KH1]],GalleVergleich[[#This Row],[Anzahl KH2]]))</f>
        <v>1.0660792951541851</v>
      </c>
      <c r="R7" s="6">
        <f>ABS(GalleVergleich[[#This Row],[Anzahl KH1]]-GalleVergleich[[#This Row],[Anzahl KH2]])*0.35</f>
        <v>5.25</v>
      </c>
    </row>
    <row r="8" spans="1:18" ht="15" thickBot="1" x14ac:dyDescent="0.35">
      <c r="A8" s="4" t="str">
        <v>Aspartattransaminasebestimmung im Plasma</v>
      </c>
      <c r="B8" t="str" cm="1">
        <f t="array" ref="B8">_xlfn.XLOOKUP(A8,TRIM(DatenGalle[Art der Leistung]),DatenGalle[Kategorie (Labor, Rad, Lunge, EKG)],"")</f>
        <v>Laborleistungen</v>
      </c>
      <c r="C8" s="7" t="str" cm="1">
        <f t="array" ref="C8">_xlfn.XLOOKUP(A8,TRIM(DatenGalle[Art der Leistung]),DatenGalle[Operationsart],"")</f>
        <v>Galle</v>
      </c>
      <c r="D8" s="7">
        <f>SUMIFS(DatenGalle[Anzahl],DatenGalle[Art der Leistung],$A8,DatenGalle[Kategorie (Labor, Rad, Lunge, EKG)],$B8,DatenGalle[Operationsart],$C8,DatenGalle[KH],"KH 1")</f>
        <v>248</v>
      </c>
      <c r="E8" s="7">
        <f>SUMIFS(DatenGalle[Anzahl],DatenGalle[Art der Leistung],$A8,DatenGalle[Kategorie (Labor, Rad, Lunge, EKG)],$B8,DatenGalle[Operationsart],$C8,DatenGalle[KH],"KH 2")</f>
        <v>227</v>
      </c>
      <c r="F8" s="10"/>
      <c r="I8" s="14" t="s">
        <v>24</v>
      </c>
      <c r="J8" t="s">
        <v>7</v>
      </c>
      <c r="K8" s="7" t="s">
        <v>108</v>
      </c>
      <c r="L8" s="7">
        <v>248</v>
      </c>
      <c r="M8" s="7">
        <v>227</v>
      </c>
      <c r="N8" s="7">
        <f>AVERAGE(GalleVergleich[[#This Row],[Anzahl KH1]],GalleVergleich[[#This Row],[Anzahl KH2]])</f>
        <v>237.5</v>
      </c>
      <c r="O8" s="7">
        <f>ABS(GalleVergleich[[#This Row],[Anzahl KH1]]-GalleVergleich[[#This Row],[Anzahl KH2]])</f>
        <v>21</v>
      </c>
      <c r="P8" s="7">
        <f>IF(MAX(GalleVergleich[[#This Row],[Anzahl KH1]],GalleVergleich[[#This Row],[Anzahl KH2]])=0,0,ABS(GalleVergleich[[#This Row],[Anzahl KH1]]-GalleVergleich[[#This Row],[Anzahl KH2]])/MAX(GalleVergleich[[#This Row],[Anzahl KH1]],GalleVergleich[[#This Row],[Anzahl KH2]]))</f>
        <v>8.4677419354838704E-2</v>
      </c>
      <c r="Q8" s="7">
        <f>IF(MIN(GalleVergleich[[#This Row],[Anzahl KH1]],GalleVergleich[[#This Row],[Anzahl KH2]])=0,"∞",MAX(GalleVergleich[[#This Row],[Anzahl KH1]],GalleVergleich[[#This Row],[Anzahl KH2]])/MIN(GalleVergleich[[#This Row],[Anzahl KH1]],GalleVergleich[[#This Row],[Anzahl KH2]]))</f>
        <v>1.0925110132158591</v>
      </c>
      <c r="R8" s="6">
        <f>ABS(GalleVergleich[[#This Row],[Anzahl KH1]]-GalleVergleich[[#This Row],[Anzahl KH2]])*0.35</f>
        <v>7.35</v>
      </c>
    </row>
    <row r="9" spans="1:18" ht="15" thickBot="1" x14ac:dyDescent="0.35">
      <c r="A9" s="4" t="str">
        <v>Gammaglutamyltransferasebestimmung im Plasma</v>
      </c>
      <c r="B9" t="str" cm="1">
        <f t="array" ref="B9">_xlfn.XLOOKUP(A9,TRIM(DatenGalle[Art der Leistung]),DatenGalle[Kategorie (Labor, Rad, Lunge, EKG)],"")</f>
        <v>Laborleistungen</v>
      </c>
      <c r="C9" s="7" t="str" cm="1">
        <f t="array" ref="C9">_xlfn.XLOOKUP(A9,TRIM(DatenGalle[Art der Leistung]),DatenGalle[Operationsart],"")</f>
        <v>Galle</v>
      </c>
      <c r="D9" s="7">
        <f>SUMIFS(DatenGalle[Anzahl],DatenGalle[Art der Leistung],$A9,DatenGalle[Kategorie (Labor, Rad, Lunge, EKG)],$B9,DatenGalle[Operationsart],$C9,DatenGalle[KH],"KH 1")</f>
        <v>253</v>
      </c>
      <c r="E9" s="7">
        <f>SUMIFS(DatenGalle[Anzahl],DatenGalle[Art der Leistung],$A9,DatenGalle[Kategorie (Labor, Rad, Lunge, EKG)],$B9,DatenGalle[Operationsart],$C9,DatenGalle[KH],"KH 2")</f>
        <v>226</v>
      </c>
      <c r="F9" s="10"/>
      <c r="I9" s="14" t="s">
        <v>23</v>
      </c>
      <c r="J9" t="s">
        <v>7</v>
      </c>
      <c r="K9" s="7" t="s">
        <v>108</v>
      </c>
      <c r="L9" s="7">
        <v>253</v>
      </c>
      <c r="M9" s="7">
        <v>226</v>
      </c>
      <c r="N9" s="7">
        <f>AVERAGE(GalleVergleich[[#This Row],[Anzahl KH1]],GalleVergleich[[#This Row],[Anzahl KH2]])</f>
        <v>239.5</v>
      </c>
      <c r="O9" s="7">
        <f>ABS(GalleVergleich[[#This Row],[Anzahl KH1]]-GalleVergleich[[#This Row],[Anzahl KH2]])</f>
        <v>27</v>
      </c>
      <c r="P9" s="7">
        <f>IF(MAX(GalleVergleich[[#This Row],[Anzahl KH1]],GalleVergleich[[#This Row],[Anzahl KH2]])=0,0,ABS(GalleVergleich[[#This Row],[Anzahl KH1]]-GalleVergleich[[#This Row],[Anzahl KH2]])/MAX(GalleVergleich[[#This Row],[Anzahl KH1]],GalleVergleich[[#This Row],[Anzahl KH2]]))</f>
        <v>0.1067193675889328</v>
      </c>
      <c r="Q9" s="7">
        <f>IF(MIN(GalleVergleich[[#This Row],[Anzahl KH1]],GalleVergleich[[#This Row],[Anzahl KH2]])=0,"∞",MAX(GalleVergleich[[#This Row],[Anzahl KH1]],GalleVergleich[[#This Row],[Anzahl KH2]])/MIN(GalleVergleich[[#This Row],[Anzahl KH1]],GalleVergleich[[#This Row],[Anzahl KH2]]))</f>
        <v>1.1194690265486726</v>
      </c>
      <c r="R9" s="6">
        <f>ABS(GalleVergleich[[#This Row],[Anzahl KH1]]-GalleVergleich[[#This Row],[Anzahl KH2]])*0.35</f>
        <v>9.4499999999999993</v>
      </c>
    </row>
    <row r="10" spans="1:18" ht="15" thickBot="1" x14ac:dyDescent="0.35">
      <c r="A10" s="4" t="str">
        <v>alkalische-Phosphatase-Spiegel im Plasma</v>
      </c>
      <c r="B10" t="str" cm="1">
        <f t="array" ref="B10">_xlfn.XLOOKUP(A10,TRIM(DatenGalle[Art der Leistung]),DatenGalle[Kategorie (Labor, Rad, Lunge, EKG)],"")</f>
        <v>Laborleistungen</v>
      </c>
      <c r="C10" s="7" t="str" cm="1">
        <f t="array" ref="C10">_xlfn.XLOOKUP(A10,TRIM(DatenGalle[Art der Leistung]),DatenGalle[Operationsart],"")</f>
        <v>Galle</v>
      </c>
      <c r="D10" s="7">
        <f>SUMIFS(DatenGalle[Anzahl],DatenGalle[Art der Leistung],$A10,DatenGalle[Kategorie (Labor, Rad, Lunge, EKG)],$B10,DatenGalle[Operationsart],$C10,DatenGalle[KH],"KH 1")</f>
        <v>253</v>
      </c>
      <c r="E10" s="7">
        <f>SUMIFS(DatenGalle[Anzahl],DatenGalle[Art der Leistung],$A10,DatenGalle[Kategorie (Labor, Rad, Lunge, EKG)],$B10,DatenGalle[Operationsart],$C10,DatenGalle[KH],"KH 2")</f>
        <v>225</v>
      </c>
      <c r="F10" s="10"/>
      <c r="I10" s="14" t="s">
        <v>22</v>
      </c>
      <c r="J10" t="s">
        <v>7</v>
      </c>
      <c r="K10" s="7" t="s">
        <v>108</v>
      </c>
      <c r="L10" s="7">
        <v>253</v>
      </c>
      <c r="M10" s="7">
        <v>225</v>
      </c>
      <c r="N10" s="7">
        <f>AVERAGE(GalleVergleich[[#This Row],[Anzahl KH1]],GalleVergleich[[#This Row],[Anzahl KH2]])</f>
        <v>239</v>
      </c>
      <c r="O10" s="7">
        <f>ABS(GalleVergleich[[#This Row],[Anzahl KH1]]-GalleVergleich[[#This Row],[Anzahl KH2]])</f>
        <v>28</v>
      </c>
      <c r="P10" s="7">
        <f>IF(MAX(GalleVergleich[[#This Row],[Anzahl KH1]],GalleVergleich[[#This Row],[Anzahl KH2]])=0,0,ABS(GalleVergleich[[#This Row],[Anzahl KH1]]-GalleVergleich[[#This Row],[Anzahl KH2]])/MAX(GalleVergleich[[#This Row],[Anzahl KH1]],GalleVergleich[[#This Row],[Anzahl KH2]]))</f>
        <v>0.11067193675889328</v>
      </c>
      <c r="Q10" s="7">
        <f>IF(MIN(GalleVergleich[[#This Row],[Anzahl KH1]],GalleVergleich[[#This Row],[Anzahl KH2]])=0,"∞",MAX(GalleVergleich[[#This Row],[Anzahl KH1]],GalleVergleich[[#This Row],[Anzahl KH2]])/MIN(GalleVergleich[[#This Row],[Anzahl KH1]],GalleVergleich[[#This Row],[Anzahl KH2]]))</f>
        <v>1.1244444444444444</v>
      </c>
      <c r="R10" s="6">
        <f>ABS(GalleVergleich[[#This Row],[Anzahl KH1]]-GalleVergleich[[#This Row],[Anzahl KH2]])*0.35</f>
        <v>9.7999999999999989</v>
      </c>
    </row>
    <row r="11" spans="1:18" ht="15" thickBot="1" x14ac:dyDescent="0.35">
      <c r="A11" s="4" t="str">
        <v>Bestimmung des Gesamtbilirubins im Plasma</v>
      </c>
      <c r="B11" t="str" cm="1">
        <f t="array" ref="B11">_xlfn.XLOOKUP(A11,TRIM(DatenGalle[Art der Leistung]),DatenGalle[Kategorie (Labor, Rad, Lunge, EKG)],"")</f>
        <v>Laborleistungen</v>
      </c>
      <c r="C11" s="7" t="str" cm="1">
        <f t="array" ref="C11">_xlfn.XLOOKUP(A11,TRIM(DatenGalle[Art der Leistung]),DatenGalle[Operationsart],"")</f>
        <v>Galle</v>
      </c>
      <c r="D11" s="7">
        <f>SUMIFS(DatenGalle[Anzahl],DatenGalle[Art der Leistung],$A11,DatenGalle[Kategorie (Labor, Rad, Lunge, EKG)],$B11,DatenGalle[Operationsart],$C11,DatenGalle[KH],"KH 1")</f>
        <v>254</v>
      </c>
      <c r="E11" s="7">
        <f>SUMIFS(DatenGalle[Anzahl],DatenGalle[Art der Leistung],$A11,DatenGalle[Kategorie (Labor, Rad, Lunge, EKG)],$B11,DatenGalle[Operationsart],$C11,DatenGalle[KH],"KH 2")</f>
        <v>225</v>
      </c>
      <c r="F11" s="10"/>
      <c r="I11" s="14" t="s">
        <v>21</v>
      </c>
      <c r="J11" t="s">
        <v>7</v>
      </c>
      <c r="K11" s="7" t="s">
        <v>108</v>
      </c>
      <c r="L11" s="7">
        <v>254</v>
      </c>
      <c r="M11" s="7">
        <v>225</v>
      </c>
      <c r="N11" s="7">
        <f>AVERAGE(GalleVergleich[[#This Row],[Anzahl KH1]],GalleVergleich[[#This Row],[Anzahl KH2]])</f>
        <v>239.5</v>
      </c>
      <c r="O11" s="7">
        <f>ABS(GalleVergleich[[#This Row],[Anzahl KH1]]-GalleVergleich[[#This Row],[Anzahl KH2]])</f>
        <v>29</v>
      </c>
      <c r="P11" s="7">
        <f>IF(MAX(GalleVergleich[[#This Row],[Anzahl KH1]],GalleVergleich[[#This Row],[Anzahl KH2]])=0,0,ABS(GalleVergleich[[#This Row],[Anzahl KH1]]-GalleVergleich[[#This Row],[Anzahl KH2]])/MAX(GalleVergleich[[#This Row],[Anzahl KH1]],GalleVergleich[[#This Row],[Anzahl KH2]]))</f>
        <v>0.1141732283464567</v>
      </c>
      <c r="Q11" s="7">
        <f>IF(MIN(GalleVergleich[[#This Row],[Anzahl KH1]],GalleVergleich[[#This Row],[Anzahl KH2]])=0,"∞",MAX(GalleVergleich[[#This Row],[Anzahl KH1]],GalleVergleich[[#This Row],[Anzahl KH2]])/MIN(GalleVergleich[[#This Row],[Anzahl KH1]],GalleVergleich[[#This Row],[Anzahl KH2]]))</f>
        <v>1.1288888888888888</v>
      </c>
      <c r="R11" s="6">
        <f>ABS(GalleVergleich[[#This Row],[Anzahl KH1]]-GalleVergleich[[#This Row],[Anzahl KH2]])*0.35</f>
        <v>10.149999999999999</v>
      </c>
    </row>
    <row r="12" spans="1:18" ht="15" thickBot="1" x14ac:dyDescent="0.35">
      <c r="A12" s="4" t="str">
        <v>Alaninaminotransferase-Spiegel im Plasma</v>
      </c>
      <c r="B12" t="str" cm="1">
        <f t="array" ref="B12">_xlfn.XLOOKUP(A12,TRIM(DatenGalle[Art der Leistung]),DatenGalle[Kategorie (Labor, Rad, Lunge, EKG)],"")</f>
        <v>Laborleistungen</v>
      </c>
      <c r="C12" s="7" t="str" cm="1">
        <f t="array" ref="C12">_xlfn.XLOOKUP(A12,TRIM(DatenGalle[Art der Leistung]),DatenGalle[Operationsart],"")</f>
        <v>Galle</v>
      </c>
      <c r="D12" s="7">
        <f>SUMIFS(DatenGalle[Anzahl],DatenGalle[Art der Leistung],$A12,DatenGalle[Kategorie (Labor, Rad, Lunge, EKG)],$B12,DatenGalle[Operationsart],$C12,DatenGalle[KH],"KH 1")</f>
        <v>244</v>
      </c>
      <c r="E12" s="7">
        <f>SUMIFS(DatenGalle[Anzahl],DatenGalle[Art der Leistung],$A12,DatenGalle[Kategorie (Labor, Rad, Lunge, EKG)],$B12,DatenGalle[Operationsart],$C12,DatenGalle[KH],"KH 2")</f>
        <v>225</v>
      </c>
      <c r="F12" s="10"/>
      <c r="I12" s="14" t="s">
        <v>20</v>
      </c>
      <c r="J12" t="s">
        <v>7</v>
      </c>
      <c r="K12" s="7" t="s">
        <v>108</v>
      </c>
      <c r="L12" s="7">
        <v>244</v>
      </c>
      <c r="M12" s="7">
        <v>225</v>
      </c>
      <c r="N12" s="7">
        <f>AVERAGE(GalleVergleich[[#This Row],[Anzahl KH1]],GalleVergleich[[#This Row],[Anzahl KH2]])</f>
        <v>234.5</v>
      </c>
      <c r="O12" s="7">
        <f>ABS(GalleVergleich[[#This Row],[Anzahl KH1]]-GalleVergleich[[#This Row],[Anzahl KH2]])</f>
        <v>19</v>
      </c>
      <c r="P12" s="7">
        <f>IF(MAX(GalleVergleich[[#This Row],[Anzahl KH1]],GalleVergleich[[#This Row],[Anzahl KH2]])=0,0,ABS(GalleVergleich[[#This Row],[Anzahl KH1]]-GalleVergleich[[#This Row],[Anzahl KH2]])/MAX(GalleVergleich[[#This Row],[Anzahl KH1]],GalleVergleich[[#This Row],[Anzahl KH2]]))</f>
        <v>7.7868852459016397E-2</v>
      </c>
      <c r="Q12" s="7">
        <f>IF(MIN(GalleVergleich[[#This Row],[Anzahl KH1]],GalleVergleich[[#This Row],[Anzahl KH2]])=0,"∞",MAX(GalleVergleich[[#This Row],[Anzahl KH1]],GalleVergleich[[#This Row],[Anzahl KH2]])/MIN(GalleVergleich[[#This Row],[Anzahl KH1]],GalleVergleich[[#This Row],[Anzahl KH2]]))</f>
        <v>1.0844444444444445</v>
      </c>
      <c r="R12" s="6">
        <f>ABS(GalleVergleich[[#This Row],[Anzahl KH1]]-GalleVergleich[[#This Row],[Anzahl KH2]])*0.35</f>
        <v>6.6499999999999995</v>
      </c>
    </row>
    <row r="13" spans="1:18" ht="15" thickBot="1" x14ac:dyDescent="0.35">
      <c r="A13" s="4" t="str">
        <v>Acetylcholinesterasebestimmung</v>
      </c>
      <c r="B13" t="str" cm="1">
        <f t="array" ref="B13">_xlfn.XLOOKUP(A13,TRIM(DatenGalle[Art der Leistung]),DatenGalle[Kategorie (Labor, Rad, Lunge, EKG)],"")</f>
        <v>Laborleistungen</v>
      </c>
      <c r="C13" s="7" t="str" cm="1">
        <f t="array" ref="C13">_xlfn.XLOOKUP(A13,TRIM(DatenGalle[Art der Leistung]),DatenGalle[Operationsart],"")</f>
        <v>Galle</v>
      </c>
      <c r="D13" s="7">
        <f>SUMIFS(DatenGalle[Anzahl],DatenGalle[Art der Leistung],$A13,DatenGalle[Kategorie (Labor, Rad, Lunge, EKG)],$B13,DatenGalle[Operationsart],$C13,DatenGalle[KH],"KH 1")</f>
        <v>0</v>
      </c>
      <c r="E13" s="7">
        <f>SUMIFS(DatenGalle[Anzahl],DatenGalle[Art der Leistung],$A13,DatenGalle[Kategorie (Labor, Rad, Lunge, EKG)],$B13,DatenGalle[Operationsart],$C13,DatenGalle[KH],"KH 2")</f>
        <v>225</v>
      </c>
      <c r="F13" s="10"/>
      <c r="I13" s="14" t="s">
        <v>50</v>
      </c>
      <c r="J13" t="s">
        <v>7</v>
      </c>
      <c r="K13" s="7" t="s">
        <v>108</v>
      </c>
      <c r="L13" s="7">
        <v>0</v>
      </c>
      <c r="M13" s="7">
        <v>225</v>
      </c>
      <c r="N13" s="7">
        <f>AVERAGE(GalleVergleich[[#This Row],[Anzahl KH1]],GalleVergleich[[#This Row],[Anzahl KH2]])</f>
        <v>112.5</v>
      </c>
      <c r="O13" s="7">
        <f>ABS(GalleVergleich[[#This Row],[Anzahl KH1]]-GalleVergleich[[#This Row],[Anzahl KH2]])</f>
        <v>225</v>
      </c>
      <c r="P13" s="7">
        <f>IF(MAX(GalleVergleich[[#This Row],[Anzahl KH1]],GalleVergleich[[#This Row],[Anzahl KH2]])=0,0,ABS(GalleVergleich[[#This Row],[Anzahl KH1]]-GalleVergleich[[#This Row],[Anzahl KH2]])/MAX(GalleVergleich[[#This Row],[Anzahl KH1]],GalleVergleich[[#This Row],[Anzahl KH2]]))</f>
        <v>1</v>
      </c>
      <c r="Q13" s="7" t="str">
        <f>IF(MIN(GalleVergleich[[#This Row],[Anzahl KH1]],GalleVergleich[[#This Row],[Anzahl KH2]])=0,"∞",MAX(GalleVergleich[[#This Row],[Anzahl KH1]],GalleVergleich[[#This Row],[Anzahl KH2]])/MIN(GalleVergleich[[#This Row],[Anzahl KH1]],GalleVergleich[[#This Row],[Anzahl KH2]]))</f>
        <v>∞</v>
      </c>
      <c r="R13" s="6">
        <f>ABS(GalleVergleich[[#This Row],[Anzahl KH1]]-GalleVergleich[[#This Row],[Anzahl KH2]])*0.35</f>
        <v>78.75</v>
      </c>
    </row>
    <row r="14" spans="1:18" ht="15" thickBot="1" x14ac:dyDescent="0.35">
      <c r="A14" s="4" t="str">
        <v>Gesamtproteinbestimmung im Plasma</v>
      </c>
      <c r="B14" t="str" cm="1">
        <f t="array" ref="B14">_xlfn.XLOOKUP(A14,TRIM(DatenGalle[Art der Leistung]),DatenGalle[Kategorie (Labor, Rad, Lunge, EKG)],"")</f>
        <v>Laborleistungen</v>
      </c>
      <c r="C14" s="7" t="str" cm="1">
        <f t="array" ref="C14">_xlfn.XLOOKUP(A14,TRIM(DatenGalle[Art der Leistung]),DatenGalle[Operationsart],"")</f>
        <v>Galle</v>
      </c>
      <c r="D14" s="7">
        <f>SUMIFS(DatenGalle[Anzahl],DatenGalle[Art der Leistung],$A14,DatenGalle[Kategorie (Labor, Rad, Lunge, EKG)],$B14,DatenGalle[Operationsart],$C14,DatenGalle[KH],"KH 1")</f>
        <v>44</v>
      </c>
      <c r="E14" s="7">
        <f>SUMIFS(DatenGalle[Anzahl],DatenGalle[Art der Leistung],$A14,DatenGalle[Kategorie (Labor, Rad, Lunge, EKG)],$B14,DatenGalle[Operationsart],$C14,DatenGalle[KH],"KH 2")</f>
        <v>125</v>
      </c>
      <c r="F14" s="10"/>
      <c r="I14" s="14" t="s">
        <v>28</v>
      </c>
      <c r="J14" t="s">
        <v>7</v>
      </c>
      <c r="K14" s="7" t="s">
        <v>108</v>
      </c>
      <c r="L14" s="7">
        <v>44</v>
      </c>
      <c r="M14" s="7">
        <v>125</v>
      </c>
      <c r="N14" s="7">
        <f>AVERAGE(GalleVergleich[[#This Row],[Anzahl KH1]],GalleVergleich[[#This Row],[Anzahl KH2]])</f>
        <v>84.5</v>
      </c>
      <c r="O14" s="7">
        <f>ABS(GalleVergleich[[#This Row],[Anzahl KH1]]-GalleVergleich[[#This Row],[Anzahl KH2]])</f>
        <v>81</v>
      </c>
      <c r="P14" s="7">
        <f>IF(MAX(GalleVergleich[[#This Row],[Anzahl KH1]],GalleVergleich[[#This Row],[Anzahl KH2]])=0,0,ABS(GalleVergleich[[#This Row],[Anzahl KH1]]-GalleVergleich[[#This Row],[Anzahl KH2]])/MAX(GalleVergleich[[#This Row],[Anzahl KH1]],GalleVergleich[[#This Row],[Anzahl KH2]]))</f>
        <v>0.64800000000000002</v>
      </c>
      <c r="Q14" s="7">
        <f>IF(MIN(GalleVergleich[[#This Row],[Anzahl KH1]],GalleVergleich[[#This Row],[Anzahl KH2]])=0,"∞",MAX(GalleVergleich[[#This Row],[Anzahl KH1]],GalleVergleich[[#This Row],[Anzahl KH2]])/MIN(GalleVergleich[[#This Row],[Anzahl KH1]],GalleVergleich[[#This Row],[Anzahl KH2]]))</f>
        <v>2.8409090909090908</v>
      </c>
      <c r="R14" s="6">
        <f>ABS(GalleVergleich[[#This Row],[Anzahl KH1]]-GalleVergleich[[#This Row],[Anzahl KH2]])*0.35</f>
        <v>28.349999999999998</v>
      </c>
    </row>
    <row r="15" spans="1:18" ht="15" thickBot="1" x14ac:dyDescent="0.35">
      <c r="A15" s="4" t="str">
        <v>Calculation of international normalized ratio (procedure)</v>
      </c>
      <c r="B15" t="str" cm="1">
        <f t="array" ref="B15">_xlfn.XLOOKUP(A15,TRIM(DatenGalle[Art der Leistung]),DatenGalle[Kategorie (Labor, Rad, Lunge, EKG)],"")</f>
        <v>Laborleistungen</v>
      </c>
      <c r="C15" s="7" t="str" cm="1">
        <f t="array" ref="C15">_xlfn.XLOOKUP(A15,TRIM(DatenGalle[Art der Leistung]),DatenGalle[Operationsart],"")</f>
        <v>Galle</v>
      </c>
      <c r="D15" s="7">
        <f>SUMIFS(DatenGalle[Anzahl],DatenGalle[Art der Leistung],$A15,DatenGalle[Kategorie (Labor, Rad, Lunge, EKG)],$B15,DatenGalle[Operationsart],$C15,DatenGalle[KH],"KH 1")</f>
        <v>18</v>
      </c>
      <c r="E15" s="7">
        <f>SUMIFS(DatenGalle[Anzahl],DatenGalle[Art der Leistung],$A15,DatenGalle[Kategorie (Labor, Rad, Lunge, EKG)],$B15,DatenGalle[Operationsart],$C15,DatenGalle[KH],"KH 2")</f>
        <v>121</v>
      </c>
      <c r="F15" s="10"/>
      <c r="I15" s="14" t="s">
        <v>36</v>
      </c>
      <c r="J15" t="s">
        <v>7</v>
      </c>
      <c r="K15" s="7" t="s">
        <v>108</v>
      </c>
      <c r="L15" s="7">
        <v>18</v>
      </c>
      <c r="M15" s="7">
        <v>121</v>
      </c>
      <c r="N15" s="7">
        <f>AVERAGE(GalleVergleich[[#This Row],[Anzahl KH1]],GalleVergleich[[#This Row],[Anzahl KH2]])</f>
        <v>69.5</v>
      </c>
      <c r="O15" s="7">
        <f>ABS(GalleVergleich[[#This Row],[Anzahl KH1]]-GalleVergleich[[#This Row],[Anzahl KH2]])</f>
        <v>103</v>
      </c>
      <c r="P15" s="7">
        <f>IF(MAX(GalleVergleich[[#This Row],[Anzahl KH1]],GalleVergleich[[#This Row],[Anzahl KH2]])=0,0,ABS(GalleVergleich[[#This Row],[Anzahl KH1]]-GalleVergleich[[#This Row],[Anzahl KH2]])/MAX(GalleVergleich[[#This Row],[Anzahl KH1]],GalleVergleich[[#This Row],[Anzahl KH2]]))</f>
        <v>0.85123966942148765</v>
      </c>
      <c r="Q15" s="7">
        <f>IF(MIN(GalleVergleich[[#This Row],[Anzahl KH1]],GalleVergleich[[#This Row],[Anzahl KH2]])=0,"∞",MAX(GalleVergleich[[#This Row],[Anzahl KH1]],GalleVergleich[[#This Row],[Anzahl KH2]])/MIN(GalleVergleich[[#This Row],[Anzahl KH1]],GalleVergleich[[#This Row],[Anzahl KH2]]))</f>
        <v>6.7222222222222223</v>
      </c>
      <c r="R15" s="6">
        <f>ABS(GalleVergleich[[#This Row],[Anzahl KH1]]-GalleVergleich[[#This Row],[Anzahl KH2]])*0.35</f>
        <v>36.049999999999997</v>
      </c>
    </row>
    <row r="16" spans="1:18" ht="15" thickBot="1" x14ac:dyDescent="0.35">
      <c r="A16" s="4" t="str">
        <v>Prothrombinzeit</v>
      </c>
      <c r="B16" t="str" cm="1">
        <f t="array" ref="B16">_xlfn.XLOOKUP(A16,TRIM(DatenGalle[Art der Leistung]),DatenGalle[Kategorie (Labor, Rad, Lunge, EKG)],"")</f>
        <v>Laborleistungen</v>
      </c>
      <c r="C16" s="7" t="str" cm="1">
        <f t="array" ref="C16">_xlfn.XLOOKUP(A16,TRIM(DatenGalle[Art der Leistung]),DatenGalle[Operationsart],"")</f>
        <v>Galle</v>
      </c>
      <c r="D16" s="7">
        <f>SUMIFS(DatenGalle[Anzahl],DatenGalle[Art der Leistung],$A16,DatenGalle[Kategorie (Labor, Rad, Lunge, EKG)],$B16,DatenGalle[Operationsart],$C16,DatenGalle[KH],"KH 1")</f>
        <v>102</v>
      </c>
      <c r="E16" s="7">
        <f>SUMIFS(DatenGalle[Anzahl],DatenGalle[Art der Leistung],$A16,DatenGalle[Kategorie (Labor, Rad, Lunge, EKG)],$B16,DatenGalle[Operationsart],$C16,DatenGalle[KH],"KH 2")</f>
        <v>121</v>
      </c>
      <c r="F16" s="10"/>
      <c r="I16" s="14" t="s">
        <v>13</v>
      </c>
      <c r="J16" t="s">
        <v>7</v>
      </c>
      <c r="K16" s="7" t="s">
        <v>108</v>
      </c>
      <c r="L16" s="7">
        <v>102</v>
      </c>
      <c r="M16" s="7">
        <v>121</v>
      </c>
      <c r="N16" s="7">
        <f>AVERAGE(GalleVergleich[[#This Row],[Anzahl KH1]],GalleVergleich[[#This Row],[Anzahl KH2]])</f>
        <v>111.5</v>
      </c>
      <c r="O16" s="7">
        <f>ABS(GalleVergleich[[#This Row],[Anzahl KH1]]-GalleVergleich[[#This Row],[Anzahl KH2]])</f>
        <v>19</v>
      </c>
      <c r="P16" s="7">
        <f>IF(MAX(GalleVergleich[[#This Row],[Anzahl KH1]],GalleVergleich[[#This Row],[Anzahl KH2]])=0,0,ABS(GalleVergleich[[#This Row],[Anzahl KH1]]-GalleVergleich[[#This Row],[Anzahl KH2]])/MAX(GalleVergleich[[#This Row],[Anzahl KH1]],GalleVergleich[[#This Row],[Anzahl KH2]]))</f>
        <v>0.15702479338842976</v>
      </c>
      <c r="Q16" s="7">
        <f>IF(MIN(GalleVergleich[[#This Row],[Anzahl KH1]],GalleVergleich[[#This Row],[Anzahl KH2]])=0,"∞",MAX(GalleVergleich[[#This Row],[Anzahl KH1]],GalleVergleich[[#This Row],[Anzahl KH2]])/MIN(GalleVergleich[[#This Row],[Anzahl KH1]],GalleVergleich[[#This Row],[Anzahl KH2]]))</f>
        <v>1.1862745098039216</v>
      </c>
      <c r="R16" s="6">
        <f>ABS(GalleVergleich[[#This Row],[Anzahl KH1]]-GalleVergleich[[#This Row],[Anzahl KH2]])*0.35</f>
        <v>6.6499999999999995</v>
      </c>
    </row>
    <row r="17" spans="1:18" ht="15" thickBot="1" x14ac:dyDescent="0.35">
      <c r="A17" s="4" t="str">
        <v>Kalium-Spiegel im Plasma</v>
      </c>
      <c r="B17" t="str" cm="1">
        <f t="array" ref="B17">_xlfn.XLOOKUP(A17,TRIM(DatenGalle[Art der Leistung]),DatenGalle[Kategorie (Labor, Rad, Lunge, EKG)],"")</f>
        <v>Laborleistungen</v>
      </c>
      <c r="C17" s="7" t="str" cm="1">
        <f t="array" ref="C17">_xlfn.XLOOKUP(A17,TRIM(DatenGalle[Art der Leistung]),DatenGalle[Operationsart],"")</f>
        <v>Galle</v>
      </c>
      <c r="D17" s="7">
        <f>SUMIFS(DatenGalle[Anzahl],DatenGalle[Art der Leistung],$A17,DatenGalle[Kategorie (Labor, Rad, Lunge, EKG)],$B17,DatenGalle[Operationsart],$C17,DatenGalle[KH],"KH 1")</f>
        <v>152</v>
      </c>
      <c r="E17" s="7">
        <f>SUMIFS(DatenGalle[Anzahl],DatenGalle[Art der Leistung],$A17,DatenGalle[Kategorie (Labor, Rad, Lunge, EKG)],$B17,DatenGalle[Operationsart],$C17,DatenGalle[KH],"KH 2")</f>
        <v>118</v>
      </c>
      <c r="F17" s="10"/>
      <c r="I17" s="14" t="s">
        <v>19</v>
      </c>
      <c r="J17" t="s">
        <v>7</v>
      </c>
      <c r="K17" s="7" t="s">
        <v>108</v>
      </c>
      <c r="L17" s="7">
        <v>152</v>
      </c>
      <c r="M17" s="7">
        <v>118</v>
      </c>
      <c r="N17" s="7">
        <f>AVERAGE(GalleVergleich[[#This Row],[Anzahl KH1]],GalleVergleich[[#This Row],[Anzahl KH2]])</f>
        <v>135</v>
      </c>
      <c r="O17" s="7">
        <f>ABS(GalleVergleich[[#This Row],[Anzahl KH1]]-GalleVergleich[[#This Row],[Anzahl KH2]])</f>
        <v>34</v>
      </c>
      <c r="P17" s="7">
        <f>IF(MAX(GalleVergleich[[#This Row],[Anzahl KH1]],GalleVergleich[[#This Row],[Anzahl KH2]])=0,0,ABS(GalleVergleich[[#This Row],[Anzahl KH1]]-GalleVergleich[[#This Row],[Anzahl KH2]])/MAX(GalleVergleich[[#This Row],[Anzahl KH1]],GalleVergleich[[#This Row],[Anzahl KH2]]))</f>
        <v>0.22368421052631579</v>
      </c>
      <c r="Q17" s="7">
        <f>IF(MIN(GalleVergleich[[#This Row],[Anzahl KH1]],GalleVergleich[[#This Row],[Anzahl KH2]])=0,"∞",MAX(GalleVergleich[[#This Row],[Anzahl KH1]],GalleVergleich[[#This Row],[Anzahl KH2]])/MIN(GalleVergleich[[#This Row],[Anzahl KH1]],GalleVergleich[[#This Row],[Anzahl KH2]]))</f>
        <v>1.2881355932203389</v>
      </c>
      <c r="R17" s="6">
        <f>ABS(GalleVergleich[[#This Row],[Anzahl KH1]]-GalleVergleich[[#This Row],[Anzahl KH2]])*0.35</f>
        <v>11.899999999999999</v>
      </c>
    </row>
    <row r="18" spans="1:18" ht="15" thickBot="1" x14ac:dyDescent="0.35">
      <c r="A18" s="4" t="str">
        <v>Natriumbestimmung im Plasma</v>
      </c>
      <c r="B18" t="str" cm="1">
        <f t="array" ref="B18">_xlfn.XLOOKUP(A18,TRIM(DatenGalle[Art der Leistung]),DatenGalle[Kategorie (Labor, Rad, Lunge, EKG)],"")</f>
        <v>Laborleistungen</v>
      </c>
      <c r="C18" s="7" t="str" cm="1">
        <f t="array" ref="C18">_xlfn.XLOOKUP(A18,TRIM(DatenGalle[Art der Leistung]),DatenGalle[Operationsart],"")</f>
        <v>Galle</v>
      </c>
      <c r="D18" s="7">
        <f>SUMIFS(DatenGalle[Anzahl],DatenGalle[Art der Leistung],$A18,DatenGalle[Kategorie (Labor, Rad, Lunge, EKG)],$B18,DatenGalle[Operationsart],$C18,DatenGalle[KH],"KH 1")</f>
        <v>162</v>
      </c>
      <c r="E18" s="7">
        <f>SUMIFS(DatenGalle[Anzahl],DatenGalle[Art der Leistung],$A18,DatenGalle[Kategorie (Labor, Rad, Lunge, EKG)],$B18,DatenGalle[Operationsart],$C18,DatenGalle[KH],"KH 2")</f>
        <v>117</v>
      </c>
      <c r="F18" s="10"/>
      <c r="I18" s="14" t="s">
        <v>18</v>
      </c>
      <c r="J18" t="s">
        <v>7</v>
      </c>
      <c r="K18" s="7" t="s">
        <v>108</v>
      </c>
      <c r="L18" s="7">
        <v>162</v>
      </c>
      <c r="M18" s="7">
        <v>117</v>
      </c>
      <c r="N18" s="7">
        <f>AVERAGE(GalleVergleich[[#This Row],[Anzahl KH1]],GalleVergleich[[#This Row],[Anzahl KH2]])</f>
        <v>139.5</v>
      </c>
      <c r="O18" s="7">
        <f>ABS(GalleVergleich[[#This Row],[Anzahl KH1]]-GalleVergleich[[#This Row],[Anzahl KH2]])</f>
        <v>45</v>
      </c>
      <c r="P18" s="7">
        <f>IF(MAX(GalleVergleich[[#This Row],[Anzahl KH1]],GalleVergleich[[#This Row],[Anzahl KH2]])=0,0,ABS(GalleVergleich[[#This Row],[Anzahl KH1]]-GalleVergleich[[#This Row],[Anzahl KH2]])/MAX(GalleVergleich[[#This Row],[Anzahl KH1]],GalleVergleich[[#This Row],[Anzahl KH2]]))</f>
        <v>0.27777777777777779</v>
      </c>
      <c r="Q18" s="7">
        <f>IF(MIN(GalleVergleich[[#This Row],[Anzahl KH1]],GalleVergleich[[#This Row],[Anzahl KH2]])=0,"∞",MAX(GalleVergleich[[#This Row],[Anzahl KH1]],GalleVergleich[[#This Row],[Anzahl KH2]])/MIN(GalleVergleich[[#This Row],[Anzahl KH1]],GalleVergleich[[#This Row],[Anzahl KH2]]))</f>
        <v>1.3846153846153846</v>
      </c>
      <c r="R18" s="6">
        <f>ABS(GalleVergleich[[#This Row],[Anzahl KH1]]-GalleVergleich[[#This Row],[Anzahl KH2]])*0.35</f>
        <v>15.749999999999998</v>
      </c>
    </row>
    <row r="19" spans="1:18" ht="15" thickBot="1" x14ac:dyDescent="0.35">
      <c r="A19" s="4" t="str">
        <v>Chloridbestimmung</v>
      </c>
      <c r="B19" t="str" cm="1">
        <f t="array" ref="B19">_xlfn.XLOOKUP(A19,TRIM(DatenGalle[Art der Leistung]),DatenGalle[Kategorie (Labor, Rad, Lunge, EKG)],"")</f>
        <v>Laborleistungen</v>
      </c>
      <c r="C19" s="7" t="str" cm="1">
        <f t="array" ref="C19">_xlfn.XLOOKUP(A19,TRIM(DatenGalle[Art der Leistung]),DatenGalle[Operationsart],"")</f>
        <v>Galle</v>
      </c>
      <c r="D19" s="7">
        <f>SUMIFS(DatenGalle[Anzahl],DatenGalle[Art der Leistung],$A19,DatenGalle[Kategorie (Labor, Rad, Lunge, EKG)],$B19,DatenGalle[Operationsart],$C19,DatenGalle[KH],"KH 1")</f>
        <v>162</v>
      </c>
      <c r="E19" s="7">
        <f>SUMIFS(DatenGalle[Anzahl],DatenGalle[Art der Leistung],$A19,DatenGalle[Kategorie (Labor, Rad, Lunge, EKG)],$B19,DatenGalle[Operationsart],$C19,DatenGalle[KH],"KH 2")</f>
        <v>117</v>
      </c>
      <c r="F19" s="10"/>
      <c r="I19" s="14" t="s">
        <v>16</v>
      </c>
      <c r="J19" t="s">
        <v>7</v>
      </c>
      <c r="K19" s="7" t="s">
        <v>108</v>
      </c>
      <c r="L19" s="7">
        <v>162</v>
      </c>
      <c r="M19" s="7">
        <v>117</v>
      </c>
      <c r="N19" s="7">
        <f>AVERAGE(GalleVergleich[[#This Row],[Anzahl KH1]],GalleVergleich[[#This Row],[Anzahl KH2]])</f>
        <v>139.5</v>
      </c>
      <c r="O19" s="7">
        <f>ABS(GalleVergleich[[#This Row],[Anzahl KH1]]-GalleVergleich[[#This Row],[Anzahl KH2]])</f>
        <v>45</v>
      </c>
      <c r="P19" s="7">
        <f>IF(MAX(GalleVergleich[[#This Row],[Anzahl KH1]],GalleVergleich[[#This Row],[Anzahl KH2]])=0,0,ABS(GalleVergleich[[#This Row],[Anzahl KH1]]-GalleVergleich[[#This Row],[Anzahl KH2]])/MAX(GalleVergleich[[#This Row],[Anzahl KH1]],GalleVergleich[[#This Row],[Anzahl KH2]]))</f>
        <v>0.27777777777777779</v>
      </c>
      <c r="Q19" s="7">
        <f>IF(MIN(GalleVergleich[[#This Row],[Anzahl KH1]],GalleVergleich[[#This Row],[Anzahl KH2]])=0,"∞",MAX(GalleVergleich[[#This Row],[Anzahl KH1]],GalleVergleich[[#This Row],[Anzahl KH2]])/MIN(GalleVergleich[[#This Row],[Anzahl KH1]],GalleVergleich[[#This Row],[Anzahl KH2]]))</f>
        <v>1.3846153846153846</v>
      </c>
      <c r="R19" s="6">
        <f>ABS(GalleVergleich[[#This Row],[Anzahl KH1]]-GalleVergleich[[#This Row],[Anzahl KH2]])*0.35</f>
        <v>15.749999999999998</v>
      </c>
    </row>
    <row r="20" spans="1:18" ht="15" thickBot="1" x14ac:dyDescent="0.35">
      <c r="A20" s="4" t="str">
        <v>Kalziumbestimmung albuminkorrigiert</v>
      </c>
      <c r="B20" t="str" cm="1">
        <f t="array" ref="B20">_xlfn.XLOOKUP(A20,TRIM(DatenGalle[Art der Leistung]),DatenGalle[Kategorie (Labor, Rad, Lunge, EKG)],"")</f>
        <v>Laborleistungen</v>
      </c>
      <c r="C20" s="7" t="str" cm="1">
        <f t="array" ref="C20">_xlfn.XLOOKUP(A20,TRIM(DatenGalle[Art der Leistung]),DatenGalle[Operationsart],"")</f>
        <v>Galle</v>
      </c>
      <c r="D20" s="7">
        <f>SUMIFS(DatenGalle[Anzahl],DatenGalle[Art der Leistung],$A20,DatenGalle[Kategorie (Labor, Rad, Lunge, EKG)],$B20,DatenGalle[Operationsart],$C20,DatenGalle[KH],"KH 1")</f>
        <v>162</v>
      </c>
      <c r="E20" s="7">
        <f>SUMIFS(DatenGalle[Anzahl],DatenGalle[Art der Leistung],$A20,DatenGalle[Kategorie (Labor, Rad, Lunge, EKG)],$B20,DatenGalle[Operationsart],$C20,DatenGalle[KH],"KH 2")</f>
        <v>117</v>
      </c>
      <c r="F20" s="10"/>
      <c r="I20" s="14" t="s">
        <v>17</v>
      </c>
      <c r="J20" t="s">
        <v>7</v>
      </c>
      <c r="K20" s="7" t="s">
        <v>108</v>
      </c>
      <c r="L20" s="7">
        <v>162</v>
      </c>
      <c r="M20" s="7">
        <v>117</v>
      </c>
      <c r="N20" s="7">
        <f>AVERAGE(GalleVergleich[[#This Row],[Anzahl KH1]],GalleVergleich[[#This Row],[Anzahl KH2]])</f>
        <v>139.5</v>
      </c>
      <c r="O20" s="7">
        <f>ABS(GalleVergleich[[#This Row],[Anzahl KH1]]-GalleVergleich[[#This Row],[Anzahl KH2]])</f>
        <v>45</v>
      </c>
      <c r="P20" s="7">
        <f>IF(MAX(GalleVergleich[[#This Row],[Anzahl KH1]],GalleVergleich[[#This Row],[Anzahl KH2]])=0,0,ABS(GalleVergleich[[#This Row],[Anzahl KH1]]-GalleVergleich[[#This Row],[Anzahl KH2]])/MAX(GalleVergleich[[#This Row],[Anzahl KH1]],GalleVergleich[[#This Row],[Anzahl KH2]]))</f>
        <v>0.27777777777777779</v>
      </c>
      <c r="Q20" s="7">
        <f>IF(MIN(GalleVergleich[[#This Row],[Anzahl KH1]],GalleVergleich[[#This Row],[Anzahl KH2]])=0,"∞",MAX(GalleVergleich[[#This Row],[Anzahl KH1]],GalleVergleich[[#This Row],[Anzahl KH2]])/MIN(GalleVergleich[[#This Row],[Anzahl KH1]],GalleVergleich[[#This Row],[Anzahl KH2]]))</f>
        <v>1.3846153846153846</v>
      </c>
      <c r="R20" s="6">
        <f>ABS(GalleVergleich[[#This Row],[Anzahl KH1]]-GalleVergleich[[#This Row],[Anzahl KH2]])*0.35</f>
        <v>15.749999999999998</v>
      </c>
    </row>
    <row r="21" spans="1:18" ht="15" thickBot="1" x14ac:dyDescent="0.35">
      <c r="A21" s="4" t="str">
        <v>Harnstoffbestimmung im Harn</v>
      </c>
      <c r="B21" t="str" cm="1">
        <f t="array" ref="B21">_xlfn.XLOOKUP(A21,TRIM(DatenGalle[Art der Leistung]),DatenGalle[Kategorie (Labor, Rad, Lunge, EKG)],"")</f>
        <v>Laborleistungen</v>
      </c>
      <c r="C21" s="7" t="str" cm="1">
        <f t="array" ref="C21">_xlfn.XLOOKUP(A21,TRIM(DatenGalle[Art der Leistung]),DatenGalle[Operationsart],"")</f>
        <v>Galle</v>
      </c>
      <c r="D21" s="7">
        <f>SUMIFS(DatenGalle[Anzahl],DatenGalle[Art der Leistung],$A21,DatenGalle[Kategorie (Labor, Rad, Lunge, EKG)],$B21,DatenGalle[Operationsart],$C21,DatenGalle[KH],"KH 1")</f>
        <v>119</v>
      </c>
      <c r="E21" s="7">
        <f>SUMIFS(DatenGalle[Anzahl],DatenGalle[Art der Leistung],$A21,DatenGalle[Kategorie (Labor, Rad, Lunge, EKG)],$B21,DatenGalle[Operationsart],$C21,DatenGalle[KH],"KH 2")</f>
        <v>115</v>
      </c>
      <c r="F21" s="10"/>
      <c r="I21" s="14" t="s">
        <v>35</v>
      </c>
      <c r="J21" t="s">
        <v>7</v>
      </c>
      <c r="K21" s="7" t="s">
        <v>108</v>
      </c>
      <c r="L21" s="7">
        <v>119</v>
      </c>
      <c r="M21" s="7">
        <v>115</v>
      </c>
      <c r="N21" s="7">
        <f>AVERAGE(GalleVergleich[[#This Row],[Anzahl KH1]],GalleVergleich[[#This Row],[Anzahl KH2]])</f>
        <v>117</v>
      </c>
      <c r="O21" s="7">
        <f>ABS(GalleVergleich[[#This Row],[Anzahl KH1]]-GalleVergleich[[#This Row],[Anzahl KH2]])</f>
        <v>4</v>
      </c>
      <c r="P21" s="7">
        <f>IF(MAX(GalleVergleich[[#This Row],[Anzahl KH1]],GalleVergleich[[#This Row],[Anzahl KH2]])=0,0,ABS(GalleVergleich[[#This Row],[Anzahl KH1]]-GalleVergleich[[#This Row],[Anzahl KH2]])/MAX(GalleVergleich[[#This Row],[Anzahl KH1]],GalleVergleich[[#This Row],[Anzahl KH2]]))</f>
        <v>3.3613445378151259E-2</v>
      </c>
      <c r="Q21" s="7">
        <f>IF(MIN(GalleVergleich[[#This Row],[Anzahl KH1]],GalleVergleich[[#This Row],[Anzahl KH2]])=0,"∞",MAX(GalleVergleich[[#This Row],[Anzahl KH1]],GalleVergleich[[#This Row],[Anzahl KH2]])/MIN(GalleVergleich[[#This Row],[Anzahl KH1]],GalleVergleich[[#This Row],[Anzahl KH2]]))</f>
        <v>1.0347826086956522</v>
      </c>
      <c r="R21" s="6">
        <f>ABS(GalleVergleich[[#This Row],[Anzahl KH1]]-GalleVergleich[[#This Row],[Anzahl KH2]])*0.35</f>
        <v>1.4</v>
      </c>
    </row>
    <row r="22" spans="1:18" ht="15" thickBot="1" x14ac:dyDescent="0.35">
      <c r="A22" s="4" t="str">
        <v>Kreatininbestimmung</v>
      </c>
      <c r="B22" t="str" cm="1">
        <f t="array" ref="B22">_xlfn.XLOOKUP(A22,TRIM(DatenGalle[Art der Leistung]),DatenGalle[Kategorie (Labor, Rad, Lunge, EKG)],"")</f>
        <v>Laborleistungen</v>
      </c>
      <c r="C22" s="7" t="str" cm="1">
        <f t="array" ref="C22">_xlfn.XLOOKUP(A22,TRIM(DatenGalle[Art der Leistung]),DatenGalle[Operationsart],"")</f>
        <v>Galle</v>
      </c>
      <c r="D22" s="7">
        <f>SUMIFS(DatenGalle[Anzahl],DatenGalle[Art der Leistung],$A22,DatenGalle[Kategorie (Labor, Rad, Lunge, EKG)],$B22,DatenGalle[Operationsart],$C22,DatenGalle[KH],"KH 1")</f>
        <v>170</v>
      </c>
      <c r="E22" s="7">
        <f>SUMIFS(DatenGalle[Anzahl],DatenGalle[Art der Leistung],$A22,DatenGalle[Kategorie (Labor, Rad, Lunge, EKG)],$B22,DatenGalle[Operationsart],$C22,DatenGalle[KH],"KH 2")</f>
        <v>115</v>
      </c>
      <c r="F22" s="10"/>
      <c r="I22" s="14" t="s">
        <v>14</v>
      </c>
      <c r="J22" t="s">
        <v>7</v>
      </c>
      <c r="K22" s="7" t="s">
        <v>108</v>
      </c>
      <c r="L22" s="7">
        <v>170</v>
      </c>
      <c r="M22" s="7">
        <v>115</v>
      </c>
      <c r="N22" s="7">
        <f>AVERAGE(GalleVergleich[[#This Row],[Anzahl KH1]],GalleVergleich[[#This Row],[Anzahl KH2]])</f>
        <v>142.5</v>
      </c>
      <c r="O22" s="7">
        <f>ABS(GalleVergleich[[#This Row],[Anzahl KH1]]-GalleVergleich[[#This Row],[Anzahl KH2]])</f>
        <v>55</v>
      </c>
      <c r="P22" s="7">
        <f>IF(MAX(GalleVergleich[[#This Row],[Anzahl KH1]],GalleVergleich[[#This Row],[Anzahl KH2]])=0,0,ABS(GalleVergleich[[#This Row],[Anzahl KH1]]-GalleVergleich[[#This Row],[Anzahl KH2]])/MAX(GalleVergleich[[#This Row],[Anzahl KH1]],GalleVergleich[[#This Row],[Anzahl KH2]]))</f>
        <v>0.3235294117647059</v>
      </c>
      <c r="Q22" s="7">
        <f>IF(MIN(GalleVergleich[[#This Row],[Anzahl KH1]],GalleVergleich[[#This Row],[Anzahl KH2]])=0,"∞",MAX(GalleVergleich[[#This Row],[Anzahl KH1]],GalleVergleich[[#This Row],[Anzahl KH2]])/MIN(GalleVergleich[[#This Row],[Anzahl KH1]],GalleVergleich[[#This Row],[Anzahl KH2]]))</f>
        <v>1.4782608695652173</v>
      </c>
      <c r="R22" s="6">
        <f>ABS(GalleVergleich[[#This Row],[Anzahl KH1]]-GalleVergleich[[#This Row],[Anzahl KH2]])*0.35</f>
        <v>19.25</v>
      </c>
    </row>
    <row r="23" spans="1:18" ht="15" thickBot="1" x14ac:dyDescent="0.35">
      <c r="A23" s="4" t="str">
        <v>gfr/mdrd</v>
      </c>
      <c r="B23" t="str" cm="1">
        <f t="array" ref="B23">_xlfn.XLOOKUP(A23,TRIM(DatenGalle[Art der Leistung]),DatenGalle[Kategorie (Labor, Rad, Lunge, EKG)],"")</f>
        <v>Laborleistungen</v>
      </c>
      <c r="C23" s="7" t="str" cm="1">
        <f t="array" ref="C23">_xlfn.XLOOKUP(A23,TRIM(DatenGalle[Art der Leistung]),DatenGalle[Operationsart],"")</f>
        <v>Galle</v>
      </c>
      <c r="D23" s="7">
        <f>SUMIFS(DatenGalle[Anzahl],DatenGalle[Art der Leistung],$A23,DatenGalle[Kategorie (Labor, Rad, Lunge, EKG)],$B23,DatenGalle[Operationsart],$C23,DatenGalle[KH],"KH 1")</f>
        <v>170</v>
      </c>
      <c r="E23" s="7">
        <f>SUMIFS(DatenGalle[Anzahl],DatenGalle[Art der Leistung],$A23,DatenGalle[Kategorie (Labor, Rad, Lunge, EKG)],$B23,DatenGalle[Operationsart],$C23,DatenGalle[KH],"KH 2")</f>
        <v>114</v>
      </c>
      <c r="F23" s="10"/>
      <c r="I23" s="14" t="s">
        <v>15</v>
      </c>
      <c r="J23" t="s">
        <v>7</v>
      </c>
      <c r="K23" s="7" t="s">
        <v>108</v>
      </c>
      <c r="L23" s="7">
        <v>170</v>
      </c>
      <c r="M23" s="7">
        <v>114</v>
      </c>
      <c r="N23" s="7">
        <f>AVERAGE(GalleVergleich[[#This Row],[Anzahl KH1]],GalleVergleich[[#This Row],[Anzahl KH2]])</f>
        <v>142</v>
      </c>
      <c r="O23" s="7">
        <f>ABS(GalleVergleich[[#This Row],[Anzahl KH1]]-GalleVergleich[[#This Row],[Anzahl KH2]])</f>
        <v>56</v>
      </c>
      <c r="P23" s="7">
        <f>IF(MAX(GalleVergleich[[#This Row],[Anzahl KH1]],GalleVergleich[[#This Row],[Anzahl KH2]])=0,0,ABS(GalleVergleich[[#This Row],[Anzahl KH1]]-GalleVergleich[[#This Row],[Anzahl KH2]])/MAX(GalleVergleich[[#This Row],[Anzahl KH1]],GalleVergleich[[#This Row],[Anzahl KH2]]))</f>
        <v>0.32941176470588235</v>
      </c>
      <c r="Q23" s="7">
        <f>IF(MIN(GalleVergleich[[#This Row],[Anzahl KH1]],GalleVergleich[[#This Row],[Anzahl KH2]])=0,"∞",MAX(GalleVergleich[[#This Row],[Anzahl KH1]],GalleVergleich[[#This Row],[Anzahl KH2]])/MIN(GalleVergleich[[#This Row],[Anzahl KH1]],GalleVergleich[[#This Row],[Anzahl KH2]]))</f>
        <v>1.4912280701754386</v>
      </c>
      <c r="R23" s="6">
        <f>ABS(GalleVergleich[[#This Row],[Anzahl KH1]]-GalleVergleich[[#This Row],[Anzahl KH2]])*0.35</f>
        <v>19.599999999999998</v>
      </c>
    </row>
    <row r="24" spans="1:18" ht="15" thickBot="1" x14ac:dyDescent="0.35">
      <c r="A24" s="4" t="str">
        <v>partielle Thromboplastinzeit, aktiviert</v>
      </c>
      <c r="B24" t="str" cm="1">
        <f t="array" ref="B24">_xlfn.XLOOKUP(A24,TRIM(DatenGalle[Art der Leistung]),DatenGalle[Kategorie (Labor, Rad, Lunge, EKG)],"")</f>
        <v>Laborleistungen</v>
      </c>
      <c r="C24" s="7" t="str" cm="1">
        <f t="array" ref="C24">_xlfn.XLOOKUP(A24,TRIM(DatenGalle[Art der Leistung]),DatenGalle[Operationsart],"")</f>
        <v>Galle</v>
      </c>
      <c r="D24" s="7">
        <f>SUMIFS(DatenGalle[Anzahl],DatenGalle[Art der Leistung],$A24,DatenGalle[Kategorie (Labor, Rad, Lunge, EKG)],$B24,DatenGalle[Operationsart],$C24,DatenGalle[KH],"KH 1")</f>
        <v>48</v>
      </c>
      <c r="E24" s="7">
        <f>SUMIFS(DatenGalle[Anzahl],DatenGalle[Art der Leistung],$A24,DatenGalle[Kategorie (Labor, Rad, Lunge, EKG)],$B24,DatenGalle[Operationsart],$C24,DatenGalle[KH],"KH 2")</f>
        <v>111</v>
      </c>
      <c r="F24" s="10"/>
      <c r="I24" s="14" t="s">
        <v>26</v>
      </c>
      <c r="J24" t="s">
        <v>7</v>
      </c>
      <c r="K24" s="7" t="s">
        <v>108</v>
      </c>
      <c r="L24" s="7">
        <v>48</v>
      </c>
      <c r="M24" s="7">
        <v>111</v>
      </c>
      <c r="N24" s="7">
        <f>AVERAGE(GalleVergleich[[#This Row],[Anzahl KH1]],GalleVergleich[[#This Row],[Anzahl KH2]])</f>
        <v>79.5</v>
      </c>
      <c r="O24" s="7">
        <f>ABS(GalleVergleich[[#This Row],[Anzahl KH1]]-GalleVergleich[[#This Row],[Anzahl KH2]])</f>
        <v>63</v>
      </c>
      <c r="P24" s="7">
        <f>IF(MAX(GalleVergleich[[#This Row],[Anzahl KH1]],GalleVergleich[[#This Row],[Anzahl KH2]])=0,0,ABS(GalleVergleich[[#This Row],[Anzahl KH1]]-GalleVergleich[[#This Row],[Anzahl KH2]])/MAX(GalleVergleich[[#This Row],[Anzahl KH1]],GalleVergleich[[#This Row],[Anzahl KH2]]))</f>
        <v>0.56756756756756754</v>
      </c>
      <c r="Q24" s="7">
        <f>IF(MIN(GalleVergleich[[#This Row],[Anzahl KH1]],GalleVergleich[[#This Row],[Anzahl KH2]])=0,"∞",MAX(GalleVergleich[[#This Row],[Anzahl KH1]],GalleVergleich[[#This Row],[Anzahl KH2]])/MIN(GalleVergleich[[#This Row],[Anzahl KH1]],GalleVergleich[[#This Row],[Anzahl KH2]]))</f>
        <v>2.3125</v>
      </c>
      <c r="R24" s="6">
        <f>ABS(GalleVergleich[[#This Row],[Anzahl KH1]]-GalleVergleich[[#This Row],[Anzahl KH2]])*0.35</f>
        <v>22.049999999999997</v>
      </c>
    </row>
    <row r="25" spans="1:18" ht="15" thickBot="1" x14ac:dyDescent="0.35">
      <c r="A25" s="4" t="str">
        <v>Glukosebestimmung, Blut</v>
      </c>
      <c r="B25" t="str" cm="1">
        <f t="array" ref="B25">_xlfn.XLOOKUP(A25,TRIM(DatenGalle[Art der Leistung]),DatenGalle[Kategorie (Labor, Rad, Lunge, EKG)],"")</f>
        <v>Laborleistungen</v>
      </c>
      <c r="C25" s="7" t="str" cm="1">
        <f t="array" ref="C25">_xlfn.XLOOKUP(A25,TRIM(DatenGalle[Art der Leistung]),DatenGalle[Operationsart],"")</f>
        <v>Galle</v>
      </c>
      <c r="D25" s="7">
        <f>SUMIFS(DatenGalle[Anzahl],DatenGalle[Art der Leistung],$A25,DatenGalle[Kategorie (Labor, Rad, Lunge, EKG)],$B25,DatenGalle[Operationsart],$C25,DatenGalle[KH],"KH 1")</f>
        <v>26</v>
      </c>
      <c r="E25" s="7">
        <f>SUMIFS(DatenGalle[Anzahl],DatenGalle[Art der Leistung],$A25,DatenGalle[Kategorie (Labor, Rad, Lunge, EKG)],$B25,DatenGalle[Operationsart],$C25,DatenGalle[KH],"KH 2")</f>
        <v>110</v>
      </c>
      <c r="F25" s="10"/>
      <c r="I25" s="14" t="s">
        <v>41</v>
      </c>
      <c r="J25" t="s">
        <v>7</v>
      </c>
      <c r="K25" s="7" t="s">
        <v>108</v>
      </c>
      <c r="L25" s="7">
        <v>26</v>
      </c>
      <c r="M25" s="7">
        <v>110</v>
      </c>
      <c r="N25" s="7">
        <f>AVERAGE(GalleVergleich[[#This Row],[Anzahl KH1]],GalleVergleich[[#This Row],[Anzahl KH2]])</f>
        <v>68</v>
      </c>
      <c r="O25" s="7">
        <f>ABS(GalleVergleich[[#This Row],[Anzahl KH1]]-GalleVergleich[[#This Row],[Anzahl KH2]])</f>
        <v>84</v>
      </c>
      <c r="P25" s="7">
        <f>IF(MAX(GalleVergleich[[#This Row],[Anzahl KH1]],GalleVergleich[[#This Row],[Anzahl KH2]])=0,0,ABS(GalleVergleich[[#This Row],[Anzahl KH1]]-GalleVergleich[[#This Row],[Anzahl KH2]])/MAX(GalleVergleich[[#This Row],[Anzahl KH1]],GalleVergleich[[#This Row],[Anzahl KH2]]))</f>
        <v>0.76363636363636367</v>
      </c>
      <c r="Q25" s="7">
        <f>IF(MIN(GalleVergleich[[#This Row],[Anzahl KH1]],GalleVergleich[[#This Row],[Anzahl KH2]])=0,"∞",MAX(GalleVergleich[[#This Row],[Anzahl KH1]],GalleVergleich[[#This Row],[Anzahl KH2]])/MIN(GalleVergleich[[#This Row],[Anzahl KH1]],GalleVergleich[[#This Row],[Anzahl KH2]]))</f>
        <v>4.2307692307692308</v>
      </c>
      <c r="R25" s="6">
        <f>ABS(GalleVergleich[[#This Row],[Anzahl KH1]]-GalleVergleich[[#This Row],[Anzahl KH2]])*0.35</f>
        <v>29.4</v>
      </c>
    </row>
    <row r="26" spans="1:18" ht="15" thickBot="1" x14ac:dyDescent="0.35">
      <c r="A26" s="4" t="str">
        <v>Rhesus-Blutgruppenbestimmung</v>
      </c>
      <c r="B26" t="str" cm="1">
        <f t="array" ref="B26">_xlfn.XLOOKUP(A26,TRIM(DatenGalle[Art der Leistung]),DatenGalle[Kategorie (Labor, Rad, Lunge, EKG)],"")</f>
        <v>Laborleistungen</v>
      </c>
      <c r="C26" s="7" t="str" cm="1">
        <f t="array" ref="C26">_xlfn.XLOOKUP(A26,TRIM(DatenGalle[Art der Leistung]),DatenGalle[Operationsart],"")</f>
        <v>Galle</v>
      </c>
      <c r="D26" s="7">
        <f>SUMIFS(DatenGalle[Anzahl],DatenGalle[Art der Leistung],$A26,DatenGalle[Kategorie (Labor, Rad, Lunge, EKG)],$B26,DatenGalle[Operationsart],$C26,DatenGalle[KH],"KH 1")</f>
        <v>51</v>
      </c>
      <c r="E26" s="7">
        <f>SUMIFS(DatenGalle[Anzahl],DatenGalle[Art der Leistung],$A26,DatenGalle[Kategorie (Labor, Rad, Lunge, EKG)],$B26,DatenGalle[Operationsart],$C26,DatenGalle[KH],"KH 2")</f>
        <v>82</v>
      </c>
      <c r="F26" s="10"/>
      <c r="I26" s="14" t="s">
        <v>48</v>
      </c>
      <c r="J26" t="s">
        <v>7</v>
      </c>
      <c r="K26" s="7" t="s">
        <v>108</v>
      </c>
      <c r="L26" s="7">
        <v>51</v>
      </c>
      <c r="M26" s="7">
        <v>82</v>
      </c>
      <c r="N26" s="7">
        <f>AVERAGE(GalleVergleich[[#This Row],[Anzahl KH1]],GalleVergleich[[#This Row],[Anzahl KH2]])</f>
        <v>66.5</v>
      </c>
      <c r="O26" s="7">
        <f>ABS(GalleVergleich[[#This Row],[Anzahl KH1]]-GalleVergleich[[#This Row],[Anzahl KH2]])</f>
        <v>31</v>
      </c>
      <c r="P26" s="7">
        <f>IF(MAX(GalleVergleich[[#This Row],[Anzahl KH1]],GalleVergleich[[#This Row],[Anzahl KH2]])=0,0,ABS(GalleVergleich[[#This Row],[Anzahl KH1]]-GalleVergleich[[#This Row],[Anzahl KH2]])/MAX(GalleVergleich[[#This Row],[Anzahl KH1]],GalleVergleich[[#This Row],[Anzahl KH2]]))</f>
        <v>0.37804878048780488</v>
      </c>
      <c r="Q26" s="7">
        <f>IF(MIN(GalleVergleich[[#This Row],[Anzahl KH1]],GalleVergleich[[#This Row],[Anzahl KH2]])=0,"∞",MAX(GalleVergleich[[#This Row],[Anzahl KH1]],GalleVergleich[[#This Row],[Anzahl KH2]])/MIN(GalleVergleich[[#This Row],[Anzahl KH1]],GalleVergleich[[#This Row],[Anzahl KH2]]))</f>
        <v>1.607843137254902</v>
      </c>
      <c r="R26" s="6">
        <f>ABS(GalleVergleich[[#This Row],[Anzahl KH1]]-GalleVergleich[[#This Row],[Anzahl KH2]])*0.35</f>
        <v>10.85</v>
      </c>
    </row>
    <row r="27" spans="1:18" ht="15" thickBot="1" x14ac:dyDescent="0.35">
      <c r="A27" s="4" t="str">
        <v>Blutgruppenantikörper-Screening</v>
      </c>
      <c r="B27" t="str" cm="1">
        <f t="array" ref="B27">_xlfn.XLOOKUP(A27,TRIM(DatenGalle[Art der Leistung]),DatenGalle[Kategorie (Labor, Rad, Lunge, EKG)],"")</f>
        <v>Laborleistungen</v>
      </c>
      <c r="C27" s="7" t="str" cm="1">
        <f t="array" ref="C27">_xlfn.XLOOKUP(A27,TRIM(DatenGalle[Art der Leistung]),DatenGalle[Operationsart],"")</f>
        <v>Galle</v>
      </c>
      <c r="D27" s="7">
        <f>SUMIFS(DatenGalle[Anzahl],DatenGalle[Art der Leistung],$A27,DatenGalle[Kategorie (Labor, Rad, Lunge, EKG)],$B27,DatenGalle[Operationsart],$C27,DatenGalle[KH],"KH 1")</f>
        <v>51</v>
      </c>
      <c r="E27" s="7">
        <f>SUMIFS(DatenGalle[Anzahl],DatenGalle[Art der Leistung],$A27,DatenGalle[Kategorie (Labor, Rad, Lunge, EKG)],$B27,DatenGalle[Operationsart],$C27,DatenGalle[KH],"KH 2")</f>
        <v>82</v>
      </c>
      <c r="F27" s="10"/>
      <c r="I27" s="14" t="s">
        <v>45</v>
      </c>
      <c r="J27" t="s">
        <v>7</v>
      </c>
      <c r="K27" s="7" t="s">
        <v>108</v>
      </c>
      <c r="L27" s="7">
        <v>51</v>
      </c>
      <c r="M27" s="7">
        <v>82</v>
      </c>
      <c r="N27" s="7">
        <f>AVERAGE(GalleVergleich[[#This Row],[Anzahl KH1]],GalleVergleich[[#This Row],[Anzahl KH2]])</f>
        <v>66.5</v>
      </c>
      <c r="O27" s="7">
        <f>ABS(GalleVergleich[[#This Row],[Anzahl KH1]]-GalleVergleich[[#This Row],[Anzahl KH2]])</f>
        <v>31</v>
      </c>
      <c r="P27" s="7">
        <f>IF(MAX(GalleVergleich[[#This Row],[Anzahl KH1]],GalleVergleich[[#This Row],[Anzahl KH2]])=0,0,ABS(GalleVergleich[[#This Row],[Anzahl KH1]]-GalleVergleich[[#This Row],[Anzahl KH2]])/MAX(GalleVergleich[[#This Row],[Anzahl KH1]],GalleVergleich[[#This Row],[Anzahl KH2]]))</f>
        <v>0.37804878048780488</v>
      </c>
      <c r="Q27" s="7">
        <f>IF(MIN(GalleVergleich[[#This Row],[Anzahl KH1]],GalleVergleich[[#This Row],[Anzahl KH2]])=0,"∞",MAX(GalleVergleich[[#This Row],[Anzahl KH1]],GalleVergleich[[#This Row],[Anzahl KH2]])/MIN(GalleVergleich[[#This Row],[Anzahl KH1]],GalleVergleich[[#This Row],[Anzahl KH2]]))</f>
        <v>1.607843137254902</v>
      </c>
      <c r="R27" s="6">
        <f>ABS(GalleVergleich[[#This Row],[Anzahl KH1]]-GalleVergleich[[#This Row],[Anzahl KH2]])*0.35</f>
        <v>10.85</v>
      </c>
    </row>
    <row r="28" spans="1:18" ht="15" thickBot="1" x14ac:dyDescent="0.35">
      <c r="A28" s="4" t="str">
        <v>AB0-Blutgruppenbestimmung</v>
      </c>
      <c r="B28" t="str" cm="1">
        <f t="array" ref="B28">_xlfn.XLOOKUP(A28,TRIM(DatenGalle[Art der Leistung]),DatenGalle[Kategorie (Labor, Rad, Lunge, EKG)],"")</f>
        <v>Laborleistungen</v>
      </c>
      <c r="C28" s="7" t="str" cm="1">
        <f t="array" ref="C28">_xlfn.XLOOKUP(A28,TRIM(DatenGalle[Art der Leistung]),DatenGalle[Operationsart],"")</f>
        <v>Galle</v>
      </c>
      <c r="D28" s="7">
        <f>SUMIFS(DatenGalle[Anzahl],DatenGalle[Art der Leistung],$A28,DatenGalle[Kategorie (Labor, Rad, Lunge, EKG)],$B28,DatenGalle[Operationsart],$C28,DatenGalle[KH],"KH 1")</f>
        <v>51</v>
      </c>
      <c r="E28" s="7">
        <f>SUMIFS(DatenGalle[Anzahl],DatenGalle[Art der Leistung],$A28,DatenGalle[Kategorie (Labor, Rad, Lunge, EKG)],$B28,DatenGalle[Operationsart],$C28,DatenGalle[KH],"KH 2")</f>
        <v>82</v>
      </c>
      <c r="F28" s="10"/>
      <c r="I28" s="14" t="s">
        <v>44</v>
      </c>
      <c r="J28" t="s">
        <v>7</v>
      </c>
      <c r="K28" s="7" t="s">
        <v>108</v>
      </c>
      <c r="L28" s="7">
        <v>51</v>
      </c>
      <c r="M28" s="7">
        <v>82</v>
      </c>
      <c r="N28" s="7">
        <f>AVERAGE(GalleVergleich[[#This Row],[Anzahl KH1]],GalleVergleich[[#This Row],[Anzahl KH2]])</f>
        <v>66.5</v>
      </c>
      <c r="O28" s="7">
        <f>ABS(GalleVergleich[[#This Row],[Anzahl KH1]]-GalleVergleich[[#This Row],[Anzahl KH2]])</f>
        <v>31</v>
      </c>
      <c r="P28" s="7">
        <f>IF(MAX(GalleVergleich[[#This Row],[Anzahl KH1]],GalleVergleich[[#This Row],[Anzahl KH2]])=0,0,ABS(GalleVergleich[[#This Row],[Anzahl KH1]]-GalleVergleich[[#This Row],[Anzahl KH2]])/MAX(GalleVergleich[[#This Row],[Anzahl KH1]],GalleVergleich[[#This Row],[Anzahl KH2]]))</f>
        <v>0.37804878048780488</v>
      </c>
      <c r="Q28" s="7">
        <f>IF(MIN(GalleVergleich[[#This Row],[Anzahl KH1]],GalleVergleich[[#This Row],[Anzahl KH2]])=0,"∞",MAX(GalleVergleich[[#This Row],[Anzahl KH1]],GalleVergleich[[#This Row],[Anzahl KH2]])/MIN(GalleVergleich[[#This Row],[Anzahl KH1]],GalleVergleich[[#This Row],[Anzahl KH2]]))</f>
        <v>1.607843137254902</v>
      </c>
      <c r="R28" s="6">
        <f>ABS(GalleVergleich[[#This Row],[Anzahl KH1]]-GalleVergleich[[#This Row],[Anzahl KH2]])*0.35</f>
        <v>10.85</v>
      </c>
    </row>
    <row r="29" spans="1:18" ht="15" thickBot="1" x14ac:dyDescent="0.35">
      <c r="A29" s="4" t="str">
        <v>Amylase-Spiegel im Plasma</v>
      </c>
      <c r="B29" t="str" cm="1">
        <f t="array" ref="B29">_xlfn.XLOOKUP(A29,TRIM(DatenGalle[Art der Leistung]),DatenGalle[Kategorie (Labor, Rad, Lunge, EKG)],"")</f>
        <v>Laborleistungen</v>
      </c>
      <c r="C29" s="7" t="str" cm="1">
        <f t="array" ref="C29">_xlfn.XLOOKUP(A29,TRIM(DatenGalle[Art der Leistung]),DatenGalle[Operationsart],"")</f>
        <v>Galle</v>
      </c>
      <c r="D29" s="7">
        <f>SUMIFS(DatenGalle[Anzahl],DatenGalle[Art der Leistung],$A29,DatenGalle[Kategorie (Labor, Rad, Lunge, EKG)],$B29,DatenGalle[Operationsart],$C29,DatenGalle[KH],"KH 1")</f>
        <v>122</v>
      </c>
      <c r="E29" s="7">
        <f>SUMIFS(DatenGalle[Anzahl],DatenGalle[Art der Leistung],$A29,DatenGalle[Kategorie (Labor, Rad, Lunge, EKG)],$B29,DatenGalle[Operationsart],$C29,DatenGalle[KH],"KH 2")</f>
        <v>75</v>
      </c>
      <c r="F29" s="10"/>
      <c r="I29" s="14" t="s">
        <v>30</v>
      </c>
      <c r="J29" t="s">
        <v>7</v>
      </c>
      <c r="K29" s="7" t="s">
        <v>108</v>
      </c>
      <c r="L29" s="7">
        <v>122</v>
      </c>
      <c r="M29" s="7">
        <v>75</v>
      </c>
      <c r="N29" s="7">
        <f>AVERAGE(GalleVergleich[[#This Row],[Anzahl KH1]],GalleVergleich[[#This Row],[Anzahl KH2]])</f>
        <v>98.5</v>
      </c>
      <c r="O29" s="7">
        <f>ABS(GalleVergleich[[#This Row],[Anzahl KH1]]-GalleVergleich[[#This Row],[Anzahl KH2]])</f>
        <v>47</v>
      </c>
      <c r="P29" s="7">
        <f>IF(MAX(GalleVergleich[[#This Row],[Anzahl KH1]],GalleVergleich[[#This Row],[Anzahl KH2]])=0,0,ABS(GalleVergleich[[#This Row],[Anzahl KH1]]-GalleVergleich[[#This Row],[Anzahl KH2]])/MAX(GalleVergleich[[#This Row],[Anzahl KH1]],GalleVergleich[[#This Row],[Anzahl KH2]]))</f>
        <v>0.38524590163934425</v>
      </c>
      <c r="Q29" s="7">
        <f>IF(MIN(GalleVergleich[[#This Row],[Anzahl KH1]],GalleVergleich[[#This Row],[Anzahl KH2]])=0,"∞",MAX(GalleVergleich[[#This Row],[Anzahl KH1]],GalleVergleich[[#This Row],[Anzahl KH2]])/MIN(GalleVergleich[[#This Row],[Anzahl KH1]],GalleVergleich[[#This Row],[Anzahl KH2]]))</f>
        <v>1.6266666666666667</v>
      </c>
      <c r="R29" s="6">
        <f>ABS(GalleVergleich[[#This Row],[Anzahl KH1]]-GalleVergleich[[#This Row],[Anzahl KH2]])*0.35</f>
        <v>16.45</v>
      </c>
    </row>
    <row r="30" spans="1:18" ht="15" thickBot="1" x14ac:dyDescent="0.35">
      <c r="A30" s="4" t="str">
        <v>Harnstreifen</v>
      </c>
      <c r="B30" t="str" cm="1">
        <f t="array" ref="B30">_xlfn.XLOOKUP(A30,TRIM(DatenGalle[Art der Leistung]),DatenGalle[Kategorie (Labor, Rad, Lunge, EKG)],"")</f>
        <v>Laborleistungen</v>
      </c>
      <c r="C30" s="7" t="str" cm="1">
        <f t="array" ref="C30">_xlfn.XLOOKUP(A30,TRIM(DatenGalle[Art der Leistung]),DatenGalle[Operationsart],"")</f>
        <v>Galle</v>
      </c>
      <c r="D30" s="7">
        <f>SUMIFS(DatenGalle[Anzahl],DatenGalle[Art der Leistung],$A30,DatenGalle[Kategorie (Labor, Rad, Lunge, EKG)],$B30,DatenGalle[Operationsart],$C30,DatenGalle[KH],"KH 1")</f>
        <v>41</v>
      </c>
      <c r="E30" s="7">
        <f>SUMIFS(DatenGalle[Anzahl],DatenGalle[Art der Leistung],$A30,DatenGalle[Kategorie (Labor, Rad, Lunge, EKG)],$B30,DatenGalle[Operationsart],$C30,DatenGalle[KH],"KH 2")</f>
        <v>74</v>
      </c>
      <c r="F30" s="10"/>
      <c r="I30" s="14" t="s">
        <v>29</v>
      </c>
      <c r="J30" t="s">
        <v>7</v>
      </c>
      <c r="K30" s="7" t="s">
        <v>108</v>
      </c>
      <c r="L30" s="7">
        <v>41</v>
      </c>
      <c r="M30" s="7">
        <v>74</v>
      </c>
      <c r="N30" s="7">
        <f>AVERAGE(GalleVergleich[[#This Row],[Anzahl KH1]],GalleVergleich[[#This Row],[Anzahl KH2]])</f>
        <v>57.5</v>
      </c>
      <c r="O30" s="7">
        <f>ABS(GalleVergleich[[#This Row],[Anzahl KH1]]-GalleVergleich[[#This Row],[Anzahl KH2]])</f>
        <v>33</v>
      </c>
      <c r="P30" s="7">
        <f>IF(MAX(GalleVergleich[[#This Row],[Anzahl KH1]],GalleVergleich[[#This Row],[Anzahl KH2]])=0,0,ABS(GalleVergleich[[#This Row],[Anzahl KH1]]-GalleVergleich[[#This Row],[Anzahl KH2]])/MAX(GalleVergleich[[#This Row],[Anzahl KH1]],GalleVergleich[[#This Row],[Anzahl KH2]]))</f>
        <v>0.44594594594594594</v>
      </c>
      <c r="Q30" s="7">
        <f>IF(MIN(GalleVergleich[[#This Row],[Anzahl KH1]],GalleVergleich[[#This Row],[Anzahl KH2]])=0,"∞",MAX(GalleVergleich[[#This Row],[Anzahl KH1]],GalleVergleich[[#This Row],[Anzahl KH2]])/MIN(GalleVergleich[[#This Row],[Anzahl KH1]],GalleVergleich[[#This Row],[Anzahl KH2]]))</f>
        <v>1.8048780487804879</v>
      </c>
      <c r="R30" s="6">
        <f>ABS(GalleVergleich[[#This Row],[Anzahl KH1]]-GalleVergleich[[#This Row],[Anzahl KH2]])*0.35</f>
        <v>11.549999999999999</v>
      </c>
    </row>
    <row r="31" spans="1:18" ht="15" thickBot="1" x14ac:dyDescent="0.35">
      <c r="A31" s="4" t="str">
        <v>Lipasebestimmung</v>
      </c>
      <c r="B31" t="str" cm="1">
        <f t="array" ref="B31">_xlfn.XLOOKUP(A31,TRIM(DatenGalle[Art der Leistung]),DatenGalle[Kategorie (Labor, Rad, Lunge, EKG)],"")</f>
        <v>Laborleistungen</v>
      </c>
      <c r="C31" s="7" t="str" cm="1">
        <f t="array" ref="C31">_xlfn.XLOOKUP(A31,TRIM(DatenGalle[Art der Leistung]),DatenGalle[Operationsart],"")</f>
        <v>Galle</v>
      </c>
      <c r="D31" s="7">
        <f>SUMIFS(DatenGalle[Anzahl],DatenGalle[Art der Leistung],$A31,DatenGalle[Kategorie (Labor, Rad, Lunge, EKG)],$B31,DatenGalle[Operationsart],$C31,DatenGalle[KH],"KH 1")</f>
        <v>122</v>
      </c>
      <c r="E31" s="7">
        <f>SUMIFS(DatenGalle[Anzahl],DatenGalle[Art der Leistung],$A31,DatenGalle[Kategorie (Labor, Rad, Lunge, EKG)],$B31,DatenGalle[Operationsart],$C31,DatenGalle[KH],"KH 2")</f>
        <v>74</v>
      </c>
      <c r="F31" s="10"/>
      <c r="I31" s="14" t="s">
        <v>32</v>
      </c>
      <c r="J31" t="s">
        <v>7</v>
      </c>
      <c r="K31" s="7" t="s">
        <v>108</v>
      </c>
      <c r="L31" s="7">
        <v>122</v>
      </c>
      <c r="M31" s="7">
        <v>74</v>
      </c>
      <c r="N31" s="7">
        <f>AVERAGE(GalleVergleich[[#This Row],[Anzahl KH1]],GalleVergleich[[#This Row],[Anzahl KH2]])</f>
        <v>98</v>
      </c>
      <c r="O31" s="7">
        <f>ABS(GalleVergleich[[#This Row],[Anzahl KH1]]-GalleVergleich[[#This Row],[Anzahl KH2]])</f>
        <v>48</v>
      </c>
      <c r="P31" s="7">
        <f>IF(MAX(GalleVergleich[[#This Row],[Anzahl KH1]],GalleVergleich[[#This Row],[Anzahl KH2]])=0,0,ABS(GalleVergleich[[#This Row],[Anzahl KH1]]-GalleVergleich[[#This Row],[Anzahl KH2]])/MAX(GalleVergleich[[#This Row],[Anzahl KH1]],GalleVergleich[[#This Row],[Anzahl KH2]]))</f>
        <v>0.39344262295081966</v>
      </c>
      <c r="Q31" s="7">
        <f>IF(MIN(GalleVergleich[[#This Row],[Anzahl KH1]],GalleVergleich[[#This Row],[Anzahl KH2]])=0,"∞",MAX(GalleVergleich[[#This Row],[Anzahl KH1]],GalleVergleich[[#This Row],[Anzahl KH2]])/MIN(GalleVergleich[[#This Row],[Anzahl KH1]],GalleVergleich[[#This Row],[Anzahl KH2]]))</f>
        <v>1.6486486486486487</v>
      </c>
      <c r="R31" s="6">
        <f>ABS(GalleVergleich[[#This Row],[Anzahl KH1]]-GalleVergleich[[#This Row],[Anzahl KH2]])*0.35</f>
        <v>16.799999999999997</v>
      </c>
    </row>
    <row r="32" spans="1:18" ht="15" thickBot="1" x14ac:dyDescent="0.35">
      <c r="A32" s="4" t="str">
        <v>Bestimmung von konjugiertem Bilirubin im Plasma</v>
      </c>
      <c r="B32" t="str" cm="1">
        <f t="array" ref="B32">_xlfn.XLOOKUP(A32,TRIM(DatenGalle[Art der Leistung]),DatenGalle[Kategorie (Labor, Rad, Lunge, EKG)],"")</f>
        <v>Laborleistungen</v>
      </c>
      <c r="C32" s="7" t="str" cm="1">
        <f t="array" ref="C32">_xlfn.XLOOKUP(A32,TRIM(DatenGalle[Art der Leistung]),DatenGalle[Operationsart],"")</f>
        <v>Galle</v>
      </c>
      <c r="D32" s="7">
        <f>SUMIFS(DatenGalle[Anzahl],DatenGalle[Art der Leistung],$A32,DatenGalle[Kategorie (Labor, Rad, Lunge, EKG)],$B32,DatenGalle[Operationsart],$C32,DatenGalle[KH],"KH 1")</f>
        <v>51</v>
      </c>
      <c r="E32" s="7">
        <f>SUMIFS(DatenGalle[Anzahl],DatenGalle[Art der Leistung],$A32,DatenGalle[Kategorie (Labor, Rad, Lunge, EKG)],$B32,DatenGalle[Operationsart],$C32,DatenGalle[KH],"KH 2")</f>
        <v>61</v>
      </c>
      <c r="F32" s="10"/>
      <c r="I32" s="14" t="s">
        <v>54</v>
      </c>
      <c r="J32" t="s">
        <v>7</v>
      </c>
      <c r="K32" s="7" t="s">
        <v>108</v>
      </c>
      <c r="L32" s="7">
        <v>51</v>
      </c>
      <c r="M32" s="7">
        <v>61</v>
      </c>
      <c r="N32" s="7">
        <f>AVERAGE(GalleVergleich[[#This Row],[Anzahl KH1]],GalleVergleich[[#This Row],[Anzahl KH2]])</f>
        <v>56</v>
      </c>
      <c r="O32" s="7">
        <f>ABS(GalleVergleich[[#This Row],[Anzahl KH1]]-GalleVergleich[[#This Row],[Anzahl KH2]])</f>
        <v>10</v>
      </c>
      <c r="P32" s="7">
        <f>IF(MAX(GalleVergleich[[#This Row],[Anzahl KH1]],GalleVergleich[[#This Row],[Anzahl KH2]])=0,0,ABS(GalleVergleich[[#This Row],[Anzahl KH1]]-GalleVergleich[[#This Row],[Anzahl KH2]])/MAX(GalleVergleich[[#This Row],[Anzahl KH1]],GalleVergleich[[#This Row],[Anzahl KH2]]))</f>
        <v>0.16393442622950818</v>
      </c>
      <c r="Q32" s="7">
        <f>IF(MIN(GalleVergleich[[#This Row],[Anzahl KH1]],GalleVergleich[[#This Row],[Anzahl KH2]])=0,"∞",MAX(GalleVergleich[[#This Row],[Anzahl KH1]],GalleVergleich[[#This Row],[Anzahl KH2]])/MIN(GalleVergleich[[#This Row],[Anzahl KH1]],GalleVergleich[[#This Row],[Anzahl KH2]]))</f>
        <v>1.196078431372549</v>
      </c>
      <c r="R32" s="6">
        <f>ABS(GalleVergleich[[#This Row],[Anzahl KH1]]-GalleVergleich[[#This Row],[Anzahl KH2]])*0.35</f>
        <v>3.5</v>
      </c>
    </row>
    <row r="33" spans="1:18" ht="15" thickBot="1" x14ac:dyDescent="0.35">
      <c r="A33" s="4" t="str">
        <v>Bestimmung von unkonjugiertem Bilirubin im Plasma</v>
      </c>
      <c r="B33" t="str" cm="1">
        <f t="array" ref="B33">_xlfn.XLOOKUP(A33,TRIM(DatenGalle[Art der Leistung]),DatenGalle[Kategorie (Labor, Rad, Lunge, EKG)],"")</f>
        <v>Laborleistungen</v>
      </c>
      <c r="C33" s="7" t="str" cm="1">
        <f t="array" ref="C33">_xlfn.XLOOKUP(A33,TRIM(DatenGalle[Art der Leistung]),DatenGalle[Operationsart],"")</f>
        <v>Galle</v>
      </c>
      <c r="D33" s="7">
        <f>SUMIFS(DatenGalle[Anzahl],DatenGalle[Art der Leistung],$A33,DatenGalle[Kategorie (Labor, Rad, Lunge, EKG)],$B33,DatenGalle[Operationsart],$C33,DatenGalle[KH],"KH 1")</f>
        <v>21</v>
      </c>
      <c r="E33" s="7">
        <f>SUMIFS(DatenGalle[Anzahl],DatenGalle[Art der Leistung],$A33,DatenGalle[Kategorie (Labor, Rad, Lunge, EKG)],$B33,DatenGalle[Operationsart],$C33,DatenGalle[KH],"KH 2")</f>
        <v>60</v>
      </c>
      <c r="F33" s="10"/>
      <c r="I33" s="14" t="s">
        <v>55</v>
      </c>
      <c r="J33" t="s">
        <v>7</v>
      </c>
      <c r="K33" s="7" t="s">
        <v>108</v>
      </c>
      <c r="L33" s="7">
        <v>21</v>
      </c>
      <c r="M33" s="7">
        <v>60</v>
      </c>
      <c r="N33" s="7">
        <f>AVERAGE(GalleVergleich[[#This Row],[Anzahl KH1]],GalleVergleich[[#This Row],[Anzahl KH2]])</f>
        <v>40.5</v>
      </c>
      <c r="O33" s="7">
        <f>ABS(GalleVergleich[[#This Row],[Anzahl KH1]]-GalleVergleich[[#This Row],[Anzahl KH2]])</f>
        <v>39</v>
      </c>
      <c r="P33" s="7">
        <f>IF(MAX(GalleVergleich[[#This Row],[Anzahl KH1]],GalleVergleich[[#This Row],[Anzahl KH2]])=0,0,ABS(GalleVergleich[[#This Row],[Anzahl KH1]]-GalleVergleich[[#This Row],[Anzahl KH2]])/MAX(GalleVergleich[[#This Row],[Anzahl KH1]],GalleVergleich[[#This Row],[Anzahl KH2]]))</f>
        <v>0.65</v>
      </c>
      <c r="Q33" s="7">
        <f>IF(MIN(GalleVergleich[[#This Row],[Anzahl KH1]],GalleVergleich[[#This Row],[Anzahl KH2]])=0,"∞",MAX(GalleVergleich[[#This Row],[Anzahl KH1]],GalleVergleich[[#This Row],[Anzahl KH2]])/MIN(GalleVergleich[[#This Row],[Anzahl KH1]],GalleVergleich[[#This Row],[Anzahl KH2]]))</f>
        <v>2.8571428571428572</v>
      </c>
      <c r="R33" s="6">
        <f>ABS(GalleVergleich[[#This Row],[Anzahl KH1]]-GalleVergleich[[#This Row],[Anzahl KH2]])*0.35</f>
        <v>13.649999999999999</v>
      </c>
    </row>
    <row r="34" spans="1:18" ht="15" thickBot="1" x14ac:dyDescent="0.35">
      <c r="A34" s="4" t="str">
        <v>Blutgruppentypisierung, Rh-Phänotypisierung</v>
      </c>
      <c r="B34" t="str" cm="1">
        <f t="array" ref="B34">_xlfn.XLOOKUP(A34,TRIM(DatenGalle[Art der Leistung]),DatenGalle[Kategorie (Labor, Rad, Lunge, EKG)],"")</f>
        <v>Laborleistungen</v>
      </c>
      <c r="C34" s="7" t="str" cm="1">
        <f t="array" ref="C34">_xlfn.XLOOKUP(A34,TRIM(DatenGalle[Art der Leistung]),DatenGalle[Operationsart],"")</f>
        <v>Galle</v>
      </c>
      <c r="D34" s="7">
        <f>SUMIFS(DatenGalle[Anzahl],DatenGalle[Art der Leistung],$A34,DatenGalle[Kategorie (Labor, Rad, Lunge, EKG)],$B34,DatenGalle[Operationsart],$C34,DatenGalle[KH],"KH 1")</f>
        <v>22</v>
      </c>
      <c r="E34" s="7">
        <f>SUMIFS(DatenGalle[Anzahl],DatenGalle[Art der Leistung],$A34,DatenGalle[Kategorie (Labor, Rad, Lunge, EKG)],$B34,DatenGalle[Operationsart],$C34,DatenGalle[KH],"KH 2")</f>
        <v>44</v>
      </c>
      <c r="F34" s="10"/>
      <c r="I34" s="14" t="s">
        <v>109</v>
      </c>
      <c r="J34" t="s">
        <v>7</v>
      </c>
      <c r="K34" s="7" t="s">
        <v>108</v>
      </c>
      <c r="L34" s="7">
        <v>22</v>
      </c>
      <c r="M34" s="7">
        <v>44</v>
      </c>
      <c r="N34" s="7">
        <f>AVERAGE(GalleVergleich[[#This Row],[Anzahl KH1]],GalleVergleich[[#This Row],[Anzahl KH2]])</f>
        <v>33</v>
      </c>
      <c r="O34" s="7">
        <f>ABS(GalleVergleich[[#This Row],[Anzahl KH1]]-GalleVergleich[[#This Row],[Anzahl KH2]])</f>
        <v>22</v>
      </c>
      <c r="P34" s="7">
        <f>IF(MAX(GalleVergleich[[#This Row],[Anzahl KH1]],GalleVergleich[[#This Row],[Anzahl KH2]])=0,0,ABS(GalleVergleich[[#This Row],[Anzahl KH1]]-GalleVergleich[[#This Row],[Anzahl KH2]])/MAX(GalleVergleich[[#This Row],[Anzahl KH1]],GalleVergleich[[#This Row],[Anzahl KH2]]))</f>
        <v>0.5</v>
      </c>
      <c r="Q34" s="7">
        <f>IF(MIN(GalleVergleich[[#This Row],[Anzahl KH1]],GalleVergleich[[#This Row],[Anzahl KH2]])=0,"∞",MAX(GalleVergleich[[#This Row],[Anzahl KH1]],GalleVergleich[[#This Row],[Anzahl KH2]])/MIN(GalleVergleich[[#This Row],[Anzahl KH1]],GalleVergleich[[#This Row],[Anzahl KH2]]))</f>
        <v>2</v>
      </c>
      <c r="R34" s="6">
        <f>ABS(GalleVergleich[[#This Row],[Anzahl KH1]]-GalleVergleich[[#This Row],[Anzahl KH2]])*0.35</f>
        <v>7.6999999999999993</v>
      </c>
    </row>
    <row r="35" spans="1:18" ht="15" thickBot="1" x14ac:dyDescent="0.35">
      <c r="A35" s="4" t="str">
        <v>Blutgruppentypisierung</v>
      </c>
      <c r="B35" t="str" cm="1">
        <f t="array" ref="B35">_xlfn.XLOOKUP(A35,TRIM(DatenGalle[Art der Leistung]),DatenGalle[Kategorie (Labor, Rad, Lunge, EKG)],"")</f>
        <v>Laborleistungen</v>
      </c>
      <c r="C35" s="7" t="str" cm="1">
        <f t="array" ref="C35">_xlfn.XLOOKUP(A35,TRIM(DatenGalle[Art der Leistung]),DatenGalle[Operationsart],"")</f>
        <v>Galle</v>
      </c>
      <c r="D35" s="7">
        <f>SUMIFS(DatenGalle[Anzahl],DatenGalle[Art der Leistung],$A35,DatenGalle[Kategorie (Labor, Rad, Lunge, EKG)],$B35,DatenGalle[Operationsart],$C35,DatenGalle[KH],"KH 1")</f>
        <v>19</v>
      </c>
      <c r="E35" s="7">
        <f>SUMIFS(DatenGalle[Anzahl],DatenGalle[Art der Leistung],$A35,DatenGalle[Kategorie (Labor, Rad, Lunge, EKG)],$B35,DatenGalle[Operationsart],$C35,DatenGalle[KH],"KH 2")</f>
        <v>43</v>
      </c>
      <c r="F35" s="10"/>
      <c r="I35" s="14" t="s">
        <v>110</v>
      </c>
      <c r="J35" t="s">
        <v>7</v>
      </c>
      <c r="K35" s="7" t="s">
        <v>108</v>
      </c>
      <c r="L35" s="7">
        <v>19</v>
      </c>
      <c r="M35" s="7">
        <v>43</v>
      </c>
      <c r="N35" s="7">
        <f>AVERAGE(GalleVergleich[[#This Row],[Anzahl KH1]],GalleVergleich[[#This Row],[Anzahl KH2]])</f>
        <v>31</v>
      </c>
      <c r="O35" s="7">
        <f>ABS(GalleVergleich[[#This Row],[Anzahl KH1]]-GalleVergleich[[#This Row],[Anzahl KH2]])</f>
        <v>24</v>
      </c>
      <c r="P35" s="7">
        <f>IF(MAX(GalleVergleich[[#This Row],[Anzahl KH1]],GalleVergleich[[#This Row],[Anzahl KH2]])=0,0,ABS(GalleVergleich[[#This Row],[Anzahl KH1]]-GalleVergleich[[#This Row],[Anzahl KH2]])/MAX(GalleVergleich[[#This Row],[Anzahl KH1]],GalleVergleich[[#This Row],[Anzahl KH2]]))</f>
        <v>0.55813953488372092</v>
      </c>
      <c r="Q35" s="7">
        <f>IF(MIN(GalleVergleich[[#This Row],[Anzahl KH1]],GalleVergleich[[#This Row],[Anzahl KH2]])=0,"∞",MAX(GalleVergleich[[#This Row],[Anzahl KH1]],GalleVergleich[[#This Row],[Anzahl KH2]])/MIN(GalleVergleich[[#This Row],[Anzahl KH1]],GalleVergleich[[#This Row],[Anzahl KH2]]))</f>
        <v>2.263157894736842</v>
      </c>
      <c r="R35" s="6">
        <f>ABS(GalleVergleich[[#This Row],[Anzahl KH1]]-GalleVergleich[[#This Row],[Anzahl KH2]])*0.35</f>
        <v>8.3999999999999986</v>
      </c>
    </row>
    <row r="36" spans="1:18" ht="15" thickBot="1" x14ac:dyDescent="0.35">
      <c r="A36" s="4" t="str">
        <v>Erythrozytenantikörpernachweis</v>
      </c>
      <c r="B36" t="str" cm="1">
        <f t="array" ref="B36">_xlfn.XLOOKUP(A36,TRIM(DatenGalle[Art der Leistung]),DatenGalle[Kategorie (Labor, Rad, Lunge, EKG)],"")</f>
        <v>Laborleistungen</v>
      </c>
      <c r="C36" s="7" t="str" cm="1">
        <f t="array" ref="C36">_xlfn.XLOOKUP(A36,TRIM(DatenGalle[Art der Leistung]),DatenGalle[Operationsart],"")</f>
        <v>Galle</v>
      </c>
      <c r="D36" s="7">
        <f>SUMIFS(DatenGalle[Anzahl],DatenGalle[Art der Leistung],$A36,DatenGalle[Kategorie (Labor, Rad, Lunge, EKG)],$B36,DatenGalle[Operationsart],$C36,DatenGalle[KH],"KH 1")</f>
        <v>19</v>
      </c>
      <c r="E36" s="7">
        <f>SUMIFS(DatenGalle[Anzahl],DatenGalle[Art der Leistung],$A36,DatenGalle[Kategorie (Labor, Rad, Lunge, EKG)],$B36,DatenGalle[Operationsart],$C36,DatenGalle[KH],"KH 2")</f>
        <v>43</v>
      </c>
      <c r="F36" s="10"/>
      <c r="I36" s="14" t="s">
        <v>111</v>
      </c>
      <c r="J36" t="s">
        <v>7</v>
      </c>
      <c r="K36" s="7" t="s">
        <v>108</v>
      </c>
      <c r="L36" s="7">
        <v>19</v>
      </c>
      <c r="M36" s="7">
        <v>43</v>
      </c>
      <c r="N36" s="7">
        <f>AVERAGE(GalleVergleich[[#This Row],[Anzahl KH1]],GalleVergleich[[#This Row],[Anzahl KH2]])</f>
        <v>31</v>
      </c>
      <c r="O36" s="7">
        <f>ABS(GalleVergleich[[#This Row],[Anzahl KH1]]-GalleVergleich[[#This Row],[Anzahl KH2]])</f>
        <v>24</v>
      </c>
      <c r="P36" s="7">
        <f>IF(MAX(GalleVergleich[[#This Row],[Anzahl KH1]],GalleVergleich[[#This Row],[Anzahl KH2]])=0,0,ABS(GalleVergleich[[#This Row],[Anzahl KH1]]-GalleVergleich[[#This Row],[Anzahl KH2]])/MAX(GalleVergleich[[#This Row],[Anzahl KH1]],GalleVergleich[[#This Row],[Anzahl KH2]]))</f>
        <v>0.55813953488372092</v>
      </c>
      <c r="Q36" s="7">
        <f>IF(MIN(GalleVergleich[[#This Row],[Anzahl KH1]],GalleVergleich[[#This Row],[Anzahl KH2]])=0,"∞",MAX(GalleVergleich[[#This Row],[Anzahl KH1]],GalleVergleich[[#This Row],[Anzahl KH2]])/MIN(GalleVergleich[[#This Row],[Anzahl KH1]],GalleVergleich[[#This Row],[Anzahl KH2]]))</f>
        <v>2.263157894736842</v>
      </c>
      <c r="R36" s="6">
        <f>ABS(GalleVergleich[[#This Row],[Anzahl KH1]]-GalleVergleich[[#This Row],[Anzahl KH2]])*0.35</f>
        <v>8.3999999999999986</v>
      </c>
    </row>
    <row r="37" spans="1:18" ht="15" thickBot="1" x14ac:dyDescent="0.35">
      <c r="A37" s="4" t="str">
        <v>Blutgruppentypisierung, Rh-Phänotypisierung, großes E</v>
      </c>
      <c r="B37" t="str" cm="1">
        <f t="array" ref="B37">_xlfn.XLOOKUP(A37,TRIM(DatenGalle[Art der Leistung]),DatenGalle[Kategorie (Labor, Rad, Lunge, EKG)],"")</f>
        <v>Laborleistungen</v>
      </c>
      <c r="C37" s="7" t="str" cm="1">
        <f t="array" ref="C37">_xlfn.XLOOKUP(A37,TRIM(DatenGalle[Art der Leistung]),DatenGalle[Operationsart],"")</f>
        <v>Galle</v>
      </c>
      <c r="D37" s="7">
        <f>SUMIFS(DatenGalle[Anzahl],DatenGalle[Art der Leistung],$A37,DatenGalle[Kategorie (Labor, Rad, Lunge, EKG)],$B37,DatenGalle[Operationsart],$C37,DatenGalle[KH],"KH 1")</f>
        <v>15</v>
      </c>
      <c r="E37" s="7">
        <f>SUMIFS(DatenGalle[Anzahl],DatenGalle[Art der Leistung],$A37,DatenGalle[Kategorie (Labor, Rad, Lunge, EKG)],$B37,DatenGalle[Operationsart],$C37,DatenGalle[KH],"KH 2")</f>
        <v>30</v>
      </c>
      <c r="F37" s="10"/>
      <c r="I37" s="14" t="s">
        <v>57</v>
      </c>
      <c r="J37" t="s">
        <v>7</v>
      </c>
      <c r="K37" s="7" t="s">
        <v>108</v>
      </c>
      <c r="L37" s="7">
        <v>15</v>
      </c>
      <c r="M37" s="7">
        <v>30</v>
      </c>
      <c r="N37" s="7">
        <f>AVERAGE(GalleVergleich[[#This Row],[Anzahl KH1]],GalleVergleich[[#This Row],[Anzahl KH2]])</f>
        <v>22.5</v>
      </c>
      <c r="O37" s="7">
        <f>ABS(GalleVergleich[[#This Row],[Anzahl KH1]]-GalleVergleich[[#This Row],[Anzahl KH2]])</f>
        <v>15</v>
      </c>
      <c r="P37" s="7">
        <f>IF(MAX(GalleVergleich[[#This Row],[Anzahl KH1]],GalleVergleich[[#This Row],[Anzahl KH2]])=0,0,ABS(GalleVergleich[[#This Row],[Anzahl KH1]]-GalleVergleich[[#This Row],[Anzahl KH2]])/MAX(GalleVergleich[[#This Row],[Anzahl KH1]],GalleVergleich[[#This Row],[Anzahl KH2]]))</f>
        <v>0.5</v>
      </c>
      <c r="Q37" s="7">
        <f>IF(MIN(GalleVergleich[[#This Row],[Anzahl KH1]],GalleVergleich[[#This Row],[Anzahl KH2]])=0,"∞",MAX(GalleVergleich[[#This Row],[Anzahl KH1]],GalleVergleich[[#This Row],[Anzahl KH2]])/MIN(GalleVergleich[[#This Row],[Anzahl KH1]],GalleVergleich[[#This Row],[Anzahl KH2]]))</f>
        <v>2</v>
      </c>
      <c r="R37" s="6">
        <f>ABS(GalleVergleich[[#This Row],[Anzahl KH1]]-GalleVergleich[[#This Row],[Anzahl KH2]])*0.35</f>
        <v>5.25</v>
      </c>
    </row>
    <row r="38" spans="1:18" ht="15" thickBot="1" x14ac:dyDescent="0.35">
      <c r="A38" s="4" t="str">
        <v>Blutgruppentypisierung, Rh-Phänotypisierung, kleines c</v>
      </c>
      <c r="B38" t="str" cm="1">
        <f t="array" ref="B38">_xlfn.XLOOKUP(A38,TRIM(DatenGalle[Art der Leistung]),DatenGalle[Kategorie (Labor, Rad, Lunge, EKG)],"")</f>
        <v>Laborleistungen</v>
      </c>
      <c r="C38" s="7" t="str" cm="1">
        <f t="array" ref="C38">_xlfn.XLOOKUP(A38,TRIM(DatenGalle[Art der Leistung]),DatenGalle[Operationsart],"")</f>
        <v>Galle</v>
      </c>
      <c r="D38" s="7">
        <f>SUMIFS(DatenGalle[Anzahl],DatenGalle[Art der Leistung],$A38,DatenGalle[Kategorie (Labor, Rad, Lunge, EKG)],$B38,DatenGalle[Operationsart],$C38,DatenGalle[KH],"KH 1")</f>
        <v>0</v>
      </c>
      <c r="E38" s="7">
        <f>SUMIFS(DatenGalle[Anzahl],DatenGalle[Art der Leistung],$A38,DatenGalle[Kategorie (Labor, Rad, Lunge, EKG)],$B38,DatenGalle[Operationsart],$C38,DatenGalle[KH],"KH 2")</f>
        <v>20</v>
      </c>
      <c r="F38" s="10"/>
      <c r="I38" s="14" t="s">
        <v>112</v>
      </c>
      <c r="J38" t="s">
        <v>7</v>
      </c>
      <c r="K38" s="7" t="s">
        <v>108</v>
      </c>
      <c r="L38" s="7">
        <v>0</v>
      </c>
      <c r="M38" s="7">
        <v>20</v>
      </c>
      <c r="N38" s="7">
        <f>AVERAGE(GalleVergleich[[#This Row],[Anzahl KH1]],GalleVergleich[[#This Row],[Anzahl KH2]])</f>
        <v>10</v>
      </c>
      <c r="O38" s="7">
        <f>ABS(GalleVergleich[[#This Row],[Anzahl KH1]]-GalleVergleich[[#This Row],[Anzahl KH2]])</f>
        <v>20</v>
      </c>
      <c r="P38" s="7">
        <f>IF(MAX(GalleVergleich[[#This Row],[Anzahl KH1]],GalleVergleich[[#This Row],[Anzahl KH2]])=0,0,ABS(GalleVergleich[[#This Row],[Anzahl KH1]]-GalleVergleich[[#This Row],[Anzahl KH2]])/MAX(GalleVergleich[[#This Row],[Anzahl KH1]],GalleVergleich[[#This Row],[Anzahl KH2]]))</f>
        <v>1</v>
      </c>
      <c r="Q38" s="7" t="str">
        <f>IF(MIN(GalleVergleich[[#This Row],[Anzahl KH1]],GalleVergleich[[#This Row],[Anzahl KH2]])=0,"∞",MAX(GalleVergleich[[#This Row],[Anzahl KH1]],GalleVergleich[[#This Row],[Anzahl KH2]])/MIN(GalleVergleich[[#This Row],[Anzahl KH1]],GalleVergleich[[#This Row],[Anzahl KH2]]))</f>
        <v>∞</v>
      </c>
      <c r="R38" s="6">
        <f>ABS(GalleVergleich[[#This Row],[Anzahl KH1]]-GalleVergleich[[#This Row],[Anzahl KH2]])*0.35</f>
        <v>7</v>
      </c>
    </row>
    <row r="39" spans="1:18" ht="15" thickBot="1" x14ac:dyDescent="0.35">
      <c r="A39" s="4" t="str">
        <v>TSH-Bestimmung im Serum</v>
      </c>
      <c r="B39" t="str" cm="1">
        <f t="array" ref="B39">_xlfn.XLOOKUP(A39,TRIM(DatenGalle[Art der Leistung]),DatenGalle[Kategorie (Labor, Rad, Lunge, EKG)],"")</f>
        <v>Laborleistungen</v>
      </c>
      <c r="C39" s="7" t="str" cm="1">
        <f t="array" ref="C39">_xlfn.XLOOKUP(A39,TRIM(DatenGalle[Art der Leistung]),DatenGalle[Operationsart],"")</f>
        <v>Galle</v>
      </c>
      <c r="D39" s="7">
        <f>SUMIFS(DatenGalle[Anzahl],DatenGalle[Art der Leistung],$A39,DatenGalle[Kategorie (Labor, Rad, Lunge, EKG)],$B39,DatenGalle[Operationsart],$C39,DatenGalle[KH],"KH 1")</f>
        <v>71</v>
      </c>
      <c r="E39" s="7">
        <f>SUMIFS(DatenGalle[Anzahl],DatenGalle[Art der Leistung],$A39,DatenGalle[Kategorie (Labor, Rad, Lunge, EKG)],$B39,DatenGalle[Operationsart],$C39,DatenGalle[KH],"KH 2")</f>
        <v>16</v>
      </c>
      <c r="F39" s="10"/>
      <c r="I39" s="14" t="s">
        <v>27</v>
      </c>
      <c r="J39" t="s">
        <v>7</v>
      </c>
      <c r="K39" s="7" t="s">
        <v>108</v>
      </c>
      <c r="L39" s="7">
        <v>71</v>
      </c>
      <c r="M39" s="7">
        <v>16</v>
      </c>
      <c r="N39" s="7">
        <f>AVERAGE(GalleVergleich[[#This Row],[Anzahl KH1]],GalleVergleich[[#This Row],[Anzahl KH2]])</f>
        <v>43.5</v>
      </c>
      <c r="O39" s="7">
        <f>ABS(GalleVergleich[[#This Row],[Anzahl KH1]]-GalleVergleich[[#This Row],[Anzahl KH2]])</f>
        <v>55</v>
      </c>
      <c r="P39" s="7">
        <f>IF(MAX(GalleVergleich[[#This Row],[Anzahl KH1]],GalleVergleich[[#This Row],[Anzahl KH2]])=0,0,ABS(GalleVergleich[[#This Row],[Anzahl KH1]]-GalleVergleich[[#This Row],[Anzahl KH2]])/MAX(GalleVergleich[[#This Row],[Anzahl KH1]],GalleVergleich[[#This Row],[Anzahl KH2]]))</f>
        <v>0.77464788732394363</v>
      </c>
      <c r="Q39" s="7">
        <f>IF(MIN(GalleVergleich[[#This Row],[Anzahl KH1]],GalleVergleich[[#This Row],[Anzahl KH2]])=0,"∞",MAX(GalleVergleich[[#This Row],[Anzahl KH1]],GalleVergleich[[#This Row],[Anzahl KH2]])/MIN(GalleVergleich[[#This Row],[Anzahl KH1]],GalleVergleich[[#This Row],[Anzahl KH2]]))</f>
        <v>4.4375</v>
      </c>
      <c r="R39" s="6">
        <f>ABS(GalleVergleich[[#This Row],[Anzahl KH1]]-GalleVergleich[[#This Row],[Anzahl KH2]])*0.35</f>
        <v>19.25</v>
      </c>
    </row>
    <row r="40" spans="1:18" ht="15" thickBot="1" x14ac:dyDescent="0.35">
      <c r="A40" s="4" t="str">
        <v>Bestimmung von freiem Triiodthyronin im Serum</v>
      </c>
      <c r="B40" t="str" cm="1">
        <f t="array" ref="B40">_xlfn.XLOOKUP(A40,TRIM(DatenGalle[Art der Leistung]),DatenGalle[Kategorie (Labor, Rad, Lunge, EKG)],"")</f>
        <v>Laborleistungen</v>
      </c>
      <c r="C40" s="7" t="str" cm="1">
        <f t="array" ref="C40">_xlfn.XLOOKUP(A40,TRIM(DatenGalle[Art der Leistung]),DatenGalle[Operationsart],"")</f>
        <v>Galle</v>
      </c>
      <c r="D40" s="7">
        <f>SUMIFS(DatenGalle[Anzahl],DatenGalle[Art der Leistung],$A40,DatenGalle[Kategorie (Labor, Rad, Lunge, EKG)],$B40,DatenGalle[Operationsart],$C40,DatenGalle[KH],"KH 1")</f>
        <v>0</v>
      </c>
      <c r="E40" s="7">
        <f>SUMIFS(DatenGalle[Anzahl],DatenGalle[Art der Leistung],$A40,DatenGalle[Kategorie (Labor, Rad, Lunge, EKG)],$B40,DatenGalle[Operationsart],$C40,DatenGalle[KH],"KH 2")</f>
        <v>13</v>
      </c>
      <c r="F40" s="10"/>
      <c r="I40" s="14" t="s">
        <v>52</v>
      </c>
      <c r="J40" t="s">
        <v>7</v>
      </c>
      <c r="K40" s="7" t="s">
        <v>108</v>
      </c>
      <c r="L40" s="7">
        <v>0</v>
      </c>
      <c r="M40" s="7">
        <v>13</v>
      </c>
      <c r="N40" s="7">
        <f>AVERAGE(GalleVergleich[[#This Row],[Anzahl KH1]],GalleVergleich[[#This Row],[Anzahl KH2]])</f>
        <v>6.5</v>
      </c>
      <c r="O40" s="7">
        <f>ABS(GalleVergleich[[#This Row],[Anzahl KH1]]-GalleVergleich[[#This Row],[Anzahl KH2]])</f>
        <v>13</v>
      </c>
      <c r="P40" s="7">
        <f>IF(MAX(GalleVergleich[[#This Row],[Anzahl KH1]],GalleVergleich[[#This Row],[Anzahl KH2]])=0,0,ABS(GalleVergleich[[#This Row],[Anzahl KH1]]-GalleVergleich[[#This Row],[Anzahl KH2]])/MAX(GalleVergleich[[#This Row],[Anzahl KH1]],GalleVergleich[[#This Row],[Anzahl KH2]]))</f>
        <v>1</v>
      </c>
      <c r="Q40" s="7" t="str">
        <f>IF(MIN(GalleVergleich[[#This Row],[Anzahl KH1]],GalleVergleich[[#This Row],[Anzahl KH2]])=0,"∞",MAX(GalleVergleich[[#This Row],[Anzahl KH1]],GalleVergleich[[#This Row],[Anzahl KH2]])/MIN(GalleVergleich[[#This Row],[Anzahl KH1]],GalleVergleich[[#This Row],[Anzahl KH2]]))</f>
        <v>∞</v>
      </c>
      <c r="R40" s="6">
        <f>ABS(GalleVergleich[[#This Row],[Anzahl KH1]]-GalleVergleich[[#This Row],[Anzahl KH2]])*0.35</f>
        <v>4.55</v>
      </c>
    </row>
    <row r="41" spans="1:18" ht="15" thickBot="1" x14ac:dyDescent="0.35">
      <c r="A41" s="4" t="str">
        <v>freies-T4-Bestimmung im Serum</v>
      </c>
      <c r="B41" t="str" cm="1">
        <f t="array" ref="B41">_xlfn.XLOOKUP(A41,TRIM(DatenGalle[Art der Leistung]),DatenGalle[Kategorie (Labor, Rad, Lunge, EKG)],"")</f>
        <v>Laborleistungen</v>
      </c>
      <c r="C41" s="7" t="str" cm="1">
        <f t="array" ref="C41">_xlfn.XLOOKUP(A41,TRIM(DatenGalle[Art der Leistung]),DatenGalle[Operationsart],"")</f>
        <v>Galle</v>
      </c>
      <c r="D41" s="7">
        <f>SUMIFS(DatenGalle[Anzahl],DatenGalle[Art der Leistung],$A41,DatenGalle[Kategorie (Labor, Rad, Lunge, EKG)],$B41,DatenGalle[Operationsart],$C41,DatenGalle[KH],"KH 1")</f>
        <v>0</v>
      </c>
      <c r="E41" s="7">
        <f>SUMIFS(DatenGalle[Anzahl],DatenGalle[Art der Leistung],$A41,DatenGalle[Kategorie (Labor, Rad, Lunge, EKG)],$B41,DatenGalle[Operationsart],$C41,DatenGalle[KH],"KH 2")</f>
        <v>13</v>
      </c>
      <c r="F41" s="10"/>
      <c r="I41" s="14" t="s">
        <v>51</v>
      </c>
      <c r="J41" t="s">
        <v>7</v>
      </c>
      <c r="K41" s="7" t="s">
        <v>108</v>
      </c>
      <c r="L41" s="7">
        <v>0</v>
      </c>
      <c r="M41" s="7">
        <v>13</v>
      </c>
      <c r="N41" s="7">
        <f>AVERAGE(GalleVergleich[[#This Row],[Anzahl KH1]],GalleVergleich[[#This Row],[Anzahl KH2]])</f>
        <v>6.5</v>
      </c>
      <c r="O41" s="7">
        <f>ABS(GalleVergleich[[#This Row],[Anzahl KH1]]-GalleVergleich[[#This Row],[Anzahl KH2]])</f>
        <v>13</v>
      </c>
      <c r="P41" s="7">
        <f>IF(MAX(GalleVergleich[[#This Row],[Anzahl KH1]],GalleVergleich[[#This Row],[Anzahl KH2]])=0,0,ABS(GalleVergleich[[#This Row],[Anzahl KH1]]-GalleVergleich[[#This Row],[Anzahl KH2]])/MAX(GalleVergleich[[#This Row],[Anzahl KH1]],GalleVergleich[[#This Row],[Anzahl KH2]]))</f>
        <v>1</v>
      </c>
      <c r="Q41" s="7" t="str">
        <f>IF(MIN(GalleVergleich[[#This Row],[Anzahl KH1]],GalleVergleich[[#This Row],[Anzahl KH2]])=0,"∞",MAX(GalleVergleich[[#This Row],[Anzahl KH1]],GalleVergleich[[#This Row],[Anzahl KH2]])/MIN(GalleVergleich[[#This Row],[Anzahl KH1]],GalleVergleich[[#This Row],[Anzahl KH2]]))</f>
        <v>∞</v>
      </c>
      <c r="R41" s="6">
        <f>ABS(GalleVergleich[[#This Row],[Anzahl KH1]]-GalleVergleich[[#This Row],[Anzahl KH2]])*0.35</f>
        <v>4.55</v>
      </c>
    </row>
    <row r="42" spans="1:18" ht="15" thickBot="1" x14ac:dyDescent="0.35">
      <c r="A42" s="4" t="str">
        <v>US: Oberbauch</v>
      </c>
      <c r="B42" t="str" cm="1">
        <f t="array" ref="B42">_xlfn.XLOOKUP(A42,TRIM(DatenGalle[Art der Leistung]),DatenGalle[Kategorie (Labor, Rad, Lunge, EKG)],"")</f>
        <v>Radiologieleistungen</v>
      </c>
      <c r="C42" s="7" t="str" cm="1">
        <f t="array" ref="C42">_xlfn.XLOOKUP(A42,TRIM(DatenGalle[Art der Leistung]),DatenGalle[Operationsart],"")</f>
        <v>Galle</v>
      </c>
      <c r="D42" s="7">
        <f>SUMIFS(DatenGalle[Anzahl],DatenGalle[Art der Leistung],$A42,DatenGalle[Kategorie (Labor, Rad, Lunge, EKG)],$B42,DatenGalle[Operationsart],$C42,DatenGalle[KH],"KH 1")</f>
        <v>37</v>
      </c>
      <c r="E42" s="7">
        <f>SUMIFS(DatenGalle[Anzahl],DatenGalle[Art der Leistung],$A42,DatenGalle[Kategorie (Labor, Rad, Lunge, EKG)],$B42,DatenGalle[Operationsart],$C42,DatenGalle[KH],"KH 2")</f>
        <v>58</v>
      </c>
      <c r="F42" s="10"/>
      <c r="I42" s="14" t="s">
        <v>73</v>
      </c>
      <c r="J42" t="s">
        <v>63</v>
      </c>
      <c r="K42" s="7" t="s">
        <v>108</v>
      </c>
      <c r="L42" s="7">
        <v>37</v>
      </c>
      <c r="M42" s="7">
        <v>58</v>
      </c>
      <c r="N42" s="7">
        <f>AVERAGE(GalleVergleich[[#This Row],[Anzahl KH1]],GalleVergleich[[#This Row],[Anzahl KH2]])</f>
        <v>47.5</v>
      </c>
      <c r="O42" s="7">
        <f>ABS(GalleVergleich[[#This Row],[Anzahl KH1]]-GalleVergleich[[#This Row],[Anzahl KH2]])</f>
        <v>21</v>
      </c>
      <c r="P42" s="7">
        <f>IF(MAX(GalleVergleich[[#This Row],[Anzahl KH1]],GalleVergleich[[#This Row],[Anzahl KH2]])=0,0,ABS(GalleVergleich[[#This Row],[Anzahl KH1]]-GalleVergleich[[#This Row],[Anzahl KH2]])/MAX(GalleVergleich[[#This Row],[Anzahl KH1]],GalleVergleich[[#This Row],[Anzahl KH2]]))</f>
        <v>0.36206896551724138</v>
      </c>
      <c r="Q42" s="7">
        <f>IF(MIN(GalleVergleich[[#This Row],[Anzahl KH1]],GalleVergleich[[#This Row],[Anzahl KH2]])=0,"∞",MAX(GalleVergleich[[#This Row],[Anzahl KH1]],GalleVergleich[[#This Row],[Anzahl KH2]])/MIN(GalleVergleich[[#This Row],[Anzahl KH1]],GalleVergleich[[#This Row],[Anzahl KH2]]))</f>
        <v>1.5675675675675675</v>
      </c>
      <c r="R42" s="6">
        <f>ABS(GalleVergleich[[#This Row],[Anzahl KH1]]-GalleVergleich[[#This Row],[Anzahl KH2]])*0.35</f>
        <v>7.35</v>
      </c>
    </row>
    <row r="43" spans="1:18" ht="15" thickBot="1" x14ac:dyDescent="0.35">
      <c r="A43" s="4" t="str">
        <v>US: Unterbauch (transabdominell)</v>
      </c>
      <c r="B43" t="str" cm="1">
        <f t="array" ref="B43">_xlfn.XLOOKUP(A43,TRIM(DatenGalle[Art der Leistung]),DatenGalle[Kategorie (Labor, Rad, Lunge, EKG)],"")</f>
        <v>Radiologieleistungen</v>
      </c>
      <c r="C43" s="7" t="str" cm="1">
        <f t="array" ref="C43">_xlfn.XLOOKUP(A43,TRIM(DatenGalle[Art der Leistung]),DatenGalle[Operationsart],"")</f>
        <v>Galle</v>
      </c>
      <c r="D43" s="7">
        <f>SUMIFS(DatenGalle[Anzahl],DatenGalle[Art der Leistung],$A43,DatenGalle[Kategorie (Labor, Rad, Lunge, EKG)],$B43,DatenGalle[Operationsart],$C43,DatenGalle[KH],"KH 1")</f>
        <v>37</v>
      </c>
      <c r="E43" s="7">
        <f>SUMIFS(DatenGalle[Anzahl],DatenGalle[Art der Leistung],$A43,DatenGalle[Kategorie (Labor, Rad, Lunge, EKG)],$B43,DatenGalle[Operationsart],$C43,DatenGalle[KH],"KH 2")</f>
        <v>55</v>
      </c>
      <c r="F43" s="10"/>
      <c r="I43" s="14" t="s">
        <v>75</v>
      </c>
      <c r="J43" t="s">
        <v>63</v>
      </c>
      <c r="K43" s="7" t="s">
        <v>108</v>
      </c>
      <c r="L43" s="7">
        <v>37</v>
      </c>
      <c r="M43" s="7">
        <v>55</v>
      </c>
      <c r="N43" s="7">
        <f>AVERAGE(GalleVergleich[[#This Row],[Anzahl KH1]],GalleVergleich[[#This Row],[Anzahl KH2]])</f>
        <v>46</v>
      </c>
      <c r="O43" s="7">
        <f>ABS(GalleVergleich[[#This Row],[Anzahl KH1]]-GalleVergleich[[#This Row],[Anzahl KH2]])</f>
        <v>18</v>
      </c>
      <c r="P43" s="7">
        <f>IF(MAX(GalleVergleich[[#This Row],[Anzahl KH1]],GalleVergleich[[#This Row],[Anzahl KH2]])=0,0,ABS(GalleVergleich[[#This Row],[Anzahl KH1]]-GalleVergleich[[#This Row],[Anzahl KH2]])/MAX(GalleVergleich[[#This Row],[Anzahl KH1]],GalleVergleich[[#This Row],[Anzahl KH2]]))</f>
        <v>0.32727272727272727</v>
      </c>
      <c r="Q43" s="7">
        <f>IF(MIN(GalleVergleich[[#This Row],[Anzahl KH1]],GalleVergleich[[#This Row],[Anzahl KH2]])=0,"∞",MAX(GalleVergleich[[#This Row],[Anzahl KH1]],GalleVergleich[[#This Row],[Anzahl KH2]])/MIN(GalleVergleich[[#This Row],[Anzahl KH1]],GalleVergleich[[#This Row],[Anzahl KH2]]))</f>
        <v>1.4864864864864864</v>
      </c>
      <c r="R43" s="6">
        <f>ABS(GalleVergleich[[#This Row],[Anzahl KH1]]-GalleVergleich[[#This Row],[Anzahl KH2]])*0.35</f>
        <v>6.3</v>
      </c>
    </row>
    <row r="44" spans="1:18" ht="15" thickBot="1" x14ac:dyDescent="0.35">
      <c r="A44" s="4" t="str">
        <v>US: Retroperitoneum</v>
      </c>
      <c r="B44" t="str" cm="1">
        <f t="array" ref="B44">_xlfn.XLOOKUP(A44,TRIM(DatenGalle[Art der Leistung]),DatenGalle[Kategorie (Labor, Rad, Lunge, EKG)],"")</f>
        <v>Radiologieleistungen</v>
      </c>
      <c r="C44" s="7" t="str" cm="1">
        <f t="array" ref="C44">_xlfn.XLOOKUP(A44,TRIM(DatenGalle[Art der Leistung]),DatenGalle[Operationsart],"")</f>
        <v>Galle</v>
      </c>
      <c r="D44" s="7">
        <f>SUMIFS(DatenGalle[Anzahl],DatenGalle[Art der Leistung],$A44,DatenGalle[Kategorie (Labor, Rad, Lunge, EKG)],$B44,DatenGalle[Operationsart],$C44,DatenGalle[KH],"KH 1")</f>
        <v>37</v>
      </c>
      <c r="E44" s="7">
        <f>SUMIFS(DatenGalle[Anzahl],DatenGalle[Art der Leistung],$A44,DatenGalle[Kategorie (Labor, Rad, Lunge, EKG)],$B44,DatenGalle[Operationsart],$C44,DatenGalle[KH],"KH 2")</f>
        <v>55</v>
      </c>
      <c r="F44" s="10"/>
      <c r="I44" s="14" t="s">
        <v>76</v>
      </c>
      <c r="J44" t="s">
        <v>63</v>
      </c>
      <c r="K44" s="7" t="s">
        <v>108</v>
      </c>
      <c r="L44" s="7">
        <v>37</v>
      </c>
      <c r="M44" s="7">
        <v>55</v>
      </c>
      <c r="N44" s="7">
        <f>AVERAGE(GalleVergleich[[#This Row],[Anzahl KH1]],GalleVergleich[[#This Row],[Anzahl KH2]])</f>
        <v>46</v>
      </c>
      <c r="O44" s="7">
        <f>ABS(GalleVergleich[[#This Row],[Anzahl KH1]]-GalleVergleich[[#This Row],[Anzahl KH2]])</f>
        <v>18</v>
      </c>
      <c r="P44" s="7">
        <f>IF(MAX(GalleVergleich[[#This Row],[Anzahl KH1]],GalleVergleich[[#This Row],[Anzahl KH2]])=0,0,ABS(GalleVergleich[[#This Row],[Anzahl KH1]]-GalleVergleich[[#This Row],[Anzahl KH2]])/MAX(GalleVergleich[[#This Row],[Anzahl KH1]],GalleVergleich[[#This Row],[Anzahl KH2]]))</f>
        <v>0.32727272727272727</v>
      </c>
      <c r="Q44" s="7">
        <f>IF(MIN(GalleVergleich[[#This Row],[Anzahl KH1]],GalleVergleich[[#This Row],[Anzahl KH2]])=0,"∞",MAX(GalleVergleich[[#This Row],[Anzahl KH1]],GalleVergleich[[#This Row],[Anzahl KH2]])/MIN(GalleVergleich[[#This Row],[Anzahl KH1]],GalleVergleich[[#This Row],[Anzahl KH2]]))</f>
        <v>1.4864864864864864</v>
      </c>
      <c r="R44" s="6">
        <f>ABS(GalleVergleich[[#This Row],[Anzahl KH1]]-GalleVergleich[[#This Row],[Anzahl KH2]])*0.35</f>
        <v>6.3</v>
      </c>
    </row>
    <row r="45" spans="1:18" ht="15" thickBot="1" x14ac:dyDescent="0.35">
      <c r="A45" s="4" t="str">
        <v>RÖ: Thorax (Übersichtsaufnahme)</v>
      </c>
      <c r="B45" t="str" cm="1">
        <f t="array" ref="B45">_xlfn.XLOOKUP(A45,TRIM(DatenGalle[Art der Leistung]),DatenGalle[Kategorie (Labor, Rad, Lunge, EKG)],"")</f>
        <v>Radiologieleistungen</v>
      </c>
      <c r="C45" s="7" t="str" cm="1">
        <f t="array" ref="C45">_xlfn.XLOOKUP(A45,TRIM(DatenGalle[Art der Leistung]),DatenGalle[Operationsart],"")</f>
        <v>Galle</v>
      </c>
      <c r="D45" s="7">
        <f>SUMIFS(DatenGalle[Anzahl],DatenGalle[Art der Leistung],$A45,DatenGalle[Kategorie (Labor, Rad, Lunge, EKG)],$B45,DatenGalle[Operationsart],$C45,DatenGalle[KH],"KH 1")</f>
        <v>15</v>
      </c>
      <c r="E45" s="7">
        <f>SUMIFS(DatenGalle[Anzahl],DatenGalle[Art der Leistung],$A45,DatenGalle[Kategorie (Labor, Rad, Lunge, EKG)],$B45,DatenGalle[Operationsart],$C45,DatenGalle[KH],"KH 2")</f>
        <v>16</v>
      </c>
      <c r="F45" s="10"/>
      <c r="I45" s="14" t="s">
        <v>62</v>
      </c>
      <c r="J45" t="s">
        <v>63</v>
      </c>
      <c r="K45" s="7" t="s">
        <v>108</v>
      </c>
      <c r="L45" s="7">
        <v>15</v>
      </c>
      <c r="M45" s="7">
        <v>16</v>
      </c>
      <c r="N45" s="7">
        <f>AVERAGE(GalleVergleich[[#This Row],[Anzahl KH1]],GalleVergleich[[#This Row],[Anzahl KH2]])</f>
        <v>15.5</v>
      </c>
      <c r="O45" s="7">
        <f>ABS(GalleVergleich[[#This Row],[Anzahl KH1]]-GalleVergleich[[#This Row],[Anzahl KH2]])</f>
        <v>1</v>
      </c>
      <c r="P45" s="7">
        <f>IF(MAX(GalleVergleich[[#This Row],[Anzahl KH1]],GalleVergleich[[#This Row],[Anzahl KH2]])=0,0,ABS(GalleVergleich[[#This Row],[Anzahl KH1]]-GalleVergleich[[#This Row],[Anzahl KH2]])/MAX(GalleVergleich[[#This Row],[Anzahl KH1]],GalleVergleich[[#This Row],[Anzahl KH2]]))</f>
        <v>6.25E-2</v>
      </c>
      <c r="Q45" s="7">
        <f>IF(MIN(GalleVergleich[[#This Row],[Anzahl KH1]],GalleVergleich[[#This Row],[Anzahl KH2]])=0,"∞",MAX(GalleVergleich[[#This Row],[Anzahl KH1]],GalleVergleich[[#This Row],[Anzahl KH2]])/MIN(GalleVergleich[[#This Row],[Anzahl KH1]],GalleVergleich[[#This Row],[Anzahl KH2]]))</f>
        <v>1.0666666666666667</v>
      </c>
      <c r="R45" s="6">
        <f>ABS(GalleVergleich[[#This Row],[Anzahl KH1]]-GalleVergleich[[#This Row],[Anzahl KH2]])*0.35</f>
        <v>0.35</v>
      </c>
    </row>
    <row r="46" spans="1:18" ht="15" thickBot="1" x14ac:dyDescent="0.35">
      <c r="A46" s="4" t="str">
        <v>CT:</v>
      </c>
      <c r="B46" t="str" cm="1">
        <f t="array" ref="B46">_xlfn.XLOOKUP(A46,TRIM(DatenGalle[Art der Leistung]),DatenGalle[Kategorie (Labor, Rad, Lunge, EKG)],"")</f>
        <v>Radiologieleistungen</v>
      </c>
      <c r="C46" s="7" t="str" cm="1">
        <f t="array" ref="C46">_xlfn.XLOOKUP(A46,TRIM(DatenGalle[Art der Leistung]),DatenGalle[Operationsart],"")</f>
        <v>Galle</v>
      </c>
      <c r="D46" s="7">
        <f>SUMIFS(DatenGalle[Anzahl],DatenGalle[Art der Leistung],$A46,DatenGalle[Kategorie (Labor, Rad, Lunge, EKG)],$B46,DatenGalle[Operationsart],$C46,DatenGalle[KH],"KH 1")</f>
        <v>14</v>
      </c>
      <c r="E46" s="7">
        <f>SUMIFS(DatenGalle[Anzahl],DatenGalle[Art der Leistung],$A46,DatenGalle[Kategorie (Labor, Rad, Lunge, EKG)],$B46,DatenGalle[Operationsart],$C46,DatenGalle[KH],"KH 2")</f>
        <v>11</v>
      </c>
      <c r="F46" s="10"/>
      <c r="I46" s="14" t="s">
        <v>64</v>
      </c>
      <c r="J46" t="s">
        <v>63</v>
      </c>
      <c r="K46" s="7" t="s">
        <v>108</v>
      </c>
      <c r="L46" s="7">
        <v>14</v>
      </c>
      <c r="M46" s="7">
        <v>11</v>
      </c>
      <c r="N46" s="7">
        <f>AVERAGE(GalleVergleich[[#This Row],[Anzahl KH1]],GalleVergleich[[#This Row],[Anzahl KH2]])</f>
        <v>12.5</v>
      </c>
      <c r="O46" s="7">
        <f>ABS(GalleVergleich[[#This Row],[Anzahl KH1]]-GalleVergleich[[#This Row],[Anzahl KH2]])</f>
        <v>3</v>
      </c>
      <c r="P46" s="7">
        <f>IF(MAX(GalleVergleich[[#This Row],[Anzahl KH1]],GalleVergleich[[#This Row],[Anzahl KH2]])=0,0,ABS(GalleVergleich[[#This Row],[Anzahl KH1]]-GalleVergleich[[#This Row],[Anzahl KH2]])/MAX(GalleVergleich[[#This Row],[Anzahl KH1]],GalleVergleich[[#This Row],[Anzahl KH2]]))</f>
        <v>0.21428571428571427</v>
      </c>
      <c r="Q46" s="7">
        <f>IF(MIN(GalleVergleich[[#This Row],[Anzahl KH1]],GalleVergleich[[#This Row],[Anzahl KH2]])=0,"∞",MAX(GalleVergleich[[#This Row],[Anzahl KH1]],GalleVergleich[[#This Row],[Anzahl KH2]])/MIN(GalleVergleich[[#This Row],[Anzahl KH1]],GalleVergleich[[#This Row],[Anzahl KH2]]))</f>
        <v>1.2727272727272727</v>
      </c>
      <c r="R46" s="6">
        <f>ABS(GalleVergleich[[#This Row],[Anzahl KH1]]-GalleVergleich[[#This Row],[Anzahl KH2]])*0.35</f>
        <v>1.0499999999999998</v>
      </c>
    </row>
    <row r="47" spans="1:18" ht="15" thickBot="1" x14ac:dyDescent="0.35">
      <c r="A47" s="4" t="str">
        <v>RÖ: Thorax (lateral)</v>
      </c>
      <c r="B47" t="str" cm="1">
        <f t="array" ref="B47">_xlfn.XLOOKUP(A47,TRIM(DatenGalle[Art der Leistung]),DatenGalle[Kategorie (Labor, Rad, Lunge, EKG)],"")</f>
        <v>Radiologieleistungen</v>
      </c>
      <c r="C47" s="7" t="str" cm="1">
        <f t="array" ref="C47">_xlfn.XLOOKUP(A47,TRIM(DatenGalle[Art der Leistung]),DatenGalle[Operationsart],"")</f>
        <v>Galle</v>
      </c>
      <c r="D47" s="7">
        <f>SUMIFS(DatenGalle[Anzahl],DatenGalle[Art der Leistung],$A47,DatenGalle[Kategorie (Labor, Rad, Lunge, EKG)],$B47,DatenGalle[Operationsart],$C47,DatenGalle[KH],"KH 1")</f>
        <v>5</v>
      </c>
      <c r="E47" s="7">
        <f>SUMIFS(DatenGalle[Anzahl],DatenGalle[Art der Leistung],$A47,DatenGalle[Kategorie (Labor, Rad, Lunge, EKG)],$B47,DatenGalle[Operationsart],$C47,DatenGalle[KH],"KH 2")</f>
        <v>10</v>
      </c>
      <c r="F47" s="10"/>
      <c r="I47" s="14" t="s">
        <v>71</v>
      </c>
      <c r="J47" t="s">
        <v>63</v>
      </c>
      <c r="K47" s="7" t="s">
        <v>108</v>
      </c>
      <c r="L47" s="7">
        <v>5</v>
      </c>
      <c r="M47" s="7">
        <v>10</v>
      </c>
      <c r="N47" s="7">
        <f>AVERAGE(GalleVergleich[[#This Row],[Anzahl KH1]],GalleVergleich[[#This Row],[Anzahl KH2]])</f>
        <v>7.5</v>
      </c>
      <c r="O47" s="7">
        <f>ABS(GalleVergleich[[#This Row],[Anzahl KH1]]-GalleVergleich[[#This Row],[Anzahl KH2]])</f>
        <v>5</v>
      </c>
      <c r="P47" s="7">
        <f>IF(MAX(GalleVergleich[[#This Row],[Anzahl KH1]],GalleVergleich[[#This Row],[Anzahl KH2]])=0,0,ABS(GalleVergleich[[#This Row],[Anzahl KH1]]-GalleVergleich[[#This Row],[Anzahl KH2]])/MAX(GalleVergleich[[#This Row],[Anzahl KH1]],GalleVergleich[[#This Row],[Anzahl KH2]]))</f>
        <v>0.5</v>
      </c>
      <c r="Q47" s="7">
        <f>IF(MIN(GalleVergleich[[#This Row],[Anzahl KH1]],GalleVergleich[[#This Row],[Anzahl KH2]])=0,"∞",MAX(GalleVergleich[[#This Row],[Anzahl KH1]],GalleVergleich[[#This Row],[Anzahl KH2]])/MIN(GalleVergleich[[#This Row],[Anzahl KH1]],GalleVergleich[[#This Row],[Anzahl KH2]]))</f>
        <v>2</v>
      </c>
      <c r="R47" s="6">
        <f>ABS(GalleVergleich[[#This Row],[Anzahl KH1]]-GalleVergleich[[#This Row],[Anzahl KH2]])*0.35</f>
        <v>1.75</v>
      </c>
    </row>
    <row r="48" spans="1:18" ht="15" thickBot="1" x14ac:dyDescent="0.35">
      <c r="A48" s="4" t="str">
        <v>CT: Abdomen</v>
      </c>
      <c r="B48" t="str" cm="1">
        <f t="array" ref="B48">_xlfn.XLOOKUP(A48,TRIM(DatenGalle[Art der Leistung]),DatenGalle[Kategorie (Labor, Rad, Lunge, EKG)],"")</f>
        <v>Radiologieleistungen</v>
      </c>
      <c r="C48" s="7" t="str" cm="1">
        <f t="array" ref="C48">_xlfn.XLOOKUP(A48,TRIM(DatenGalle[Art der Leistung]),DatenGalle[Operationsart],"")</f>
        <v>Galle</v>
      </c>
      <c r="D48" s="7">
        <f>SUMIFS(DatenGalle[Anzahl],DatenGalle[Art der Leistung],$A48,DatenGalle[Kategorie (Labor, Rad, Lunge, EKG)],$B48,DatenGalle[Operationsart],$C48,DatenGalle[KH],"KH 1")</f>
        <v>14</v>
      </c>
      <c r="E48" s="7">
        <f>SUMIFS(DatenGalle[Anzahl],DatenGalle[Art der Leistung],$A48,DatenGalle[Kategorie (Labor, Rad, Lunge, EKG)],$B48,DatenGalle[Operationsart],$C48,DatenGalle[KH],"KH 2")</f>
        <v>9</v>
      </c>
      <c r="F48" s="10"/>
      <c r="I48" s="14" t="s">
        <v>77</v>
      </c>
      <c r="J48" t="s">
        <v>63</v>
      </c>
      <c r="K48" s="7" t="s">
        <v>108</v>
      </c>
      <c r="L48" s="7">
        <v>14</v>
      </c>
      <c r="M48" s="7">
        <v>9</v>
      </c>
      <c r="N48" s="7">
        <f>AVERAGE(GalleVergleich[[#This Row],[Anzahl KH1]],GalleVergleich[[#This Row],[Anzahl KH2]])</f>
        <v>11.5</v>
      </c>
      <c r="O48" s="7">
        <f>ABS(GalleVergleich[[#This Row],[Anzahl KH1]]-GalleVergleich[[#This Row],[Anzahl KH2]])</f>
        <v>5</v>
      </c>
      <c r="P48" s="7">
        <f>IF(MAX(GalleVergleich[[#This Row],[Anzahl KH1]],GalleVergleich[[#This Row],[Anzahl KH2]])=0,0,ABS(GalleVergleich[[#This Row],[Anzahl KH1]]-GalleVergleich[[#This Row],[Anzahl KH2]])/MAX(GalleVergleich[[#This Row],[Anzahl KH1]],GalleVergleich[[#This Row],[Anzahl KH2]]))</f>
        <v>0.35714285714285715</v>
      </c>
      <c r="Q48" s="7">
        <f>IF(MIN(GalleVergleich[[#This Row],[Anzahl KH1]],GalleVergleich[[#This Row],[Anzahl KH2]])=0,"∞",MAX(GalleVergleich[[#This Row],[Anzahl KH1]],GalleVergleich[[#This Row],[Anzahl KH2]])/MIN(GalleVergleich[[#This Row],[Anzahl KH1]],GalleVergleich[[#This Row],[Anzahl KH2]]))</f>
        <v>1.5555555555555556</v>
      </c>
      <c r="R48" s="6">
        <f>ABS(GalleVergleich[[#This Row],[Anzahl KH1]]-GalleVergleich[[#This Row],[Anzahl KH2]])*0.35</f>
        <v>1.75</v>
      </c>
    </row>
    <row r="49" spans="1:18" ht="15" thickBot="1" x14ac:dyDescent="0.35">
      <c r="A49" s="4" t="str">
        <v>CT: intravenöse Kontrastmittelgabe</v>
      </c>
      <c r="B49" t="str" cm="1">
        <f t="array" ref="B49">_xlfn.XLOOKUP(A49,TRIM(DatenGalle[Art der Leistung]),DatenGalle[Kategorie (Labor, Rad, Lunge, EKG)],"")</f>
        <v>Radiologieleistungen</v>
      </c>
      <c r="C49" s="7" t="str" cm="1">
        <f t="array" ref="C49">_xlfn.XLOOKUP(A49,TRIM(DatenGalle[Art der Leistung]),DatenGalle[Operationsart],"")</f>
        <v>Galle</v>
      </c>
      <c r="D49" s="7">
        <f>SUMIFS(DatenGalle[Anzahl],DatenGalle[Art der Leistung],$A49,DatenGalle[Kategorie (Labor, Rad, Lunge, EKG)],$B49,DatenGalle[Operationsart],$C49,DatenGalle[KH],"KH 1")</f>
        <v>12</v>
      </c>
      <c r="E49" s="7">
        <f>SUMIFS(DatenGalle[Anzahl],DatenGalle[Art der Leistung],$A49,DatenGalle[Kategorie (Labor, Rad, Lunge, EKG)],$B49,DatenGalle[Operationsart],$C49,DatenGalle[KH],"KH 2")</f>
        <v>7</v>
      </c>
      <c r="F49" s="10"/>
      <c r="I49" s="14" t="s">
        <v>69</v>
      </c>
      <c r="J49" t="s">
        <v>63</v>
      </c>
      <c r="K49" s="7" t="s">
        <v>108</v>
      </c>
      <c r="L49" s="7">
        <v>12</v>
      </c>
      <c r="M49" s="7">
        <v>7</v>
      </c>
      <c r="N49" s="7">
        <f>AVERAGE(GalleVergleich[[#This Row],[Anzahl KH1]],GalleVergleich[[#This Row],[Anzahl KH2]])</f>
        <v>9.5</v>
      </c>
      <c r="O49" s="7">
        <f>ABS(GalleVergleich[[#This Row],[Anzahl KH1]]-GalleVergleich[[#This Row],[Anzahl KH2]])</f>
        <v>5</v>
      </c>
      <c r="P49" s="7">
        <f>IF(MAX(GalleVergleich[[#This Row],[Anzahl KH1]],GalleVergleich[[#This Row],[Anzahl KH2]])=0,0,ABS(GalleVergleich[[#This Row],[Anzahl KH1]]-GalleVergleich[[#This Row],[Anzahl KH2]])/MAX(GalleVergleich[[#This Row],[Anzahl KH1]],GalleVergleich[[#This Row],[Anzahl KH2]]))</f>
        <v>0.41666666666666669</v>
      </c>
      <c r="Q49" s="7">
        <f>IF(MIN(GalleVergleich[[#This Row],[Anzahl KH1]],GalleVergleich[[#This Row],[Anzahl KH2]])=0,"∞",MAX(GalleVergleich[[#This Row],[Anzahl KH1]],GalleVergleich[[#This Row],[Anzahl KH2]])/MIN(GalleVergleich[[#This Row],[Anzahl KH1]],GalleVergleich[[#This Row],[Anzahl KH2]]))</f>
        <v>1.7142857142857142</v>
      </c>
      <c r="R49" s="6">
        <f>ABS(GalleVergleich[[#This Row],[Anzahl KH1]]-GalleVergleich[[#This Row],[Anzahl KH2]])*0.35</f>
        <v>1.75</v>
      </c>
    </row>
    <row r="50" spans="1:18" ht="15" thickBot="1" x14ac:dyDescent="0.35">
      <c r="A50" s="4" t="str">
        <v>Durchleuchtung</v>
      </c>
      <c r="B50" t="str" cm="1">
        <f t="array" ref="B50">_xlfn.XLOOKUP(A50,TRIM(DatenGalle[Art der Leistung]),DatenGalle[Kategorie (Labor, Rad, Lunge, EKG)],"")</f>
        <v>Radiologieleistungen</v>
      </c>
      <c r="C50" s="7" t="str" cm="1">
        <f t="array" ref="C50">_xlfn.XLOOKUP(A50,TRIM(DatenGalle[Art der Leistung]),DatenGalle[Operationsart],"")</f>
        <v>Galle</v>
      </c>
      <c r="D50" s="7">
        <f>SUMIFS(DatenGalle[Anzahl],DatenGalle[Art der Leistung],$A50,DatenGalle[Kategorie (Labor, Rad, Lunge, EKG)],$B50,DatenGalle[Operationsart],$C50,DatenGalle[KH],"KH 1")</f>
        <v>0</v>
      </c>
      <c r="E50" s="7">
        <f>SUMIFS(DatenGalle[Anzahl],DatenGalle[Art der Leistung],$A50,DatenGalle[Kategorie (Labor, Rad, Lunge, EKG)],$B50,DatenGalle[Operationsart],$C50,DatenGalle[KH],"KH 2")</f>
        <v>4</v>
      </c>
      <c r="F50" s="10"/>
      <c r="I50" s="14" t="s">
        <v>113</v>
      </c>
      <c r="J50" t="s">
        <v>63</v>
      </c>
      <c r="K50" s="7" t="s">
        <v>108</v>
      </c>
      <c r="L50" s="7">
        <v>0</v>
      </c>
      <c r="M50" s="7">
        <v>4</v>
      </c>
      <c r="N50" s="7">
        <f>AVERAGE(GalleVergleich[[#This Row],[Anzahl KH1]],GalleVergleich[[#This Row],[Anzahl KH2]])</f>
        <v>2</v>
      </c>
      <c r="O50" s="7">
        <f>ABS(GalleVergleich[[#This Row],[Anzahl KH1]]-GalleVergleich[[#This Row],[Anzahl KH2]])</f>
        <v>4</v>
      </c>
      <c r="P50" s="7">
        <f>IF(MAX(GalleVergleich[[#This Row],[Anzahl KH1]],GalleVergleich[[#This Row],[Anzahl KH2]])=0,0,ABS(GalleVergleich[[#This Row],[Anzahl KH1]]-GalleVergleich[[#This Row],[Anzahl KH2]])/MAX(GalleVergleich[[#This Row],[Anzahl KH1]],GalleVergleich[[#This Row],[Anzahl KH2]]))</f>
        <v>1</v>
      </c>
      <c r="Q50" s="7" t="str">
        <f>IF(MIN(GalleVergleich[[#This Row],[Anzahl KH1]],GalleVergleich[[#This Row],[Anzahl KH2]])=0,"∞",MAX(GalleVergleich[[#This Row],[Anzahl KH1]],GalleVergleich[[#This Row],[Anzahl KH2]])/MIN(GalleVergleich[[#This Row],[Anzahl KH1]],GalleVergleich[[#This Row],[Anzahl KH2]]))</f>
        <v>∞</v>
      </c>
      <c r="R50" s="6">
        <f>ABS(GalleVergleich[[#This Row],[Anzahl KH1]]-GalleVergleich[[#This Row],[Anzahl KH2]])*0.35</f>
        <v>1.4</v>
      </c>
    </row>
    <row r="51" spans="1:18" ht="15" thickBot="1" x14ac:dyDescent="0.35">
      <c r="A51" s="4" t="str">
        <v>US: Echokardiographie</v>
      </c>
      <c r="B51" t="str" cm="1">
        <f t="array" ref="B51">_xlfn.XLOOKUP(A51,TRIM(DatenGalle[Art der Leistung]),DatenGalle[Kategorie (Labor, Rad, Lunge, EKG)],"")</f>
        <v>Radiologieleistungen</v>
      </c>
      <c r="C51" s="7" t="str" cm="1">
        <f t="array" ref="C51">_xlfn.XLOOKUP(A51,TRIM(DatenGalle[Art der Leistung]),DatenGalle[Operationsart],"")</f>
        <v>Galle</v>
      </c>
      <c r="D51" s="7">
        <f>SUMIFS(DatenGalle[Anzahl],DatenGalle[Art der Leistung],$A51,DatenGalle[Kategorie (Labor, Rad, Lunge, EKG)],$B51,DatenGalle[Operationsart],$C51,DatenGalle[KH],"KH 1")</f>
        <v>0</v>
      </c>
      <c r="E51" s="7">
        <f>SUMIFS(DatenGalle[Anzahl],DatenGalle[Art der Leistung],$A51,DatenGalle[Kategorie (Labor, Rad, Lunge, EKG)],$B51,DatenGalle[Operationsart],$C51,DatenGalle[KH],"KH 2")</f>
        <v>3</v>
      </c>
      <c r="F51" s="10"/>
      <c r="I51" s="14" t="s">
        <v>80</v>
      </c>
      <c r="J51" t="s">
        <v>63</v>
      </c>
      <c r="K51" s="7" t="s">
        <v>108</v>
      </c>
      <c r="L51" s="7">
        <v>0</v>
      </c>
      <c r="M51" s="7">
        <v>3</v>
      </c>
      <c r="N51" s="7">
        <f>AVERAGE(GalleVergleich[[#This Row],[Anzahl KH1]],GalleVergleich[[#This Row],[Anzahl KH2]])</f>
        <v>1.5</v>
      </c>
      <c r="O51" s="7">
        <f>ABS(GalleVergleich[[#This Row],[Anzahl KH1]]-GalleVergleich[[#This Row],[Anzahl KH2]])</f>
        <v>3</v>
      </c>
      <c r="P51" s="7">
        <f>IF(MAX(GalleVergleich[[#This Row],[Anzahl KH1]],GalleVergleich[[#This Row],[Anzahl KH2]])=0,0,ABS(GalleVergleich[[#This Row],[Anzahl KH1]]-GalleVergleich[[#This Row],[Anzahl KH2]])/MAX(GalleVergleich[[#This Row],[Anzahl KH1]],GalleVergleich[[#This Row],[Anzahl KH2]]))</f>
        <v>1</v>
      </c>
      <c r="Q51" s="7" t="str">
        <f>IF(MIN(GalleVergleich[[#This Row],[Anzahl KH1]],GalleVergleich[[#This Row],[Anzahl KH2]])=0,"∞",MAX(GalleVergleich[[#This Row],[Anzahl KH1]],GalleVergleich[[#This Row],[Anzahl KH2]])/MIN(GalleVergleich[[#This Row],[Anzahl KH1]],GalleVergleich[[#This Row],[Anzahl KH2]]))</f>
        <v>∞</v>
      </c>
      <c r="R51" s="6">
        <f>ABS(GalleVergleich[[#This Row],[Anzahl KH1]]-GalleVergleich[[#This Row],[Anzahl KH2]])*0.35</f>
        <v>1.0499999999999998</v>
      </c>
    </row>
    <row r="52" spans="1:18" ht="15" thickBot="1" x14ac:dyDescent="0.35">
      <c r="A52" s="4" t="str">
        <v>US: Niere</v>
      </c>
      <c r="B52" t="str" cm="1">
        <f t="array" ref="B52">_xlfn.XLOOKUP(A52,TRIM(DatenGalle[Art der Leistung]),DatenGalle[Kategorie (Labor, Rad, Lunge, EKG)],"")</f>
        <v>Radiologieleistungen</v>
      </c>
      <c r="C52" s="7" t="str" cm="1">
        <f t="array" ref="C52">_xlfn.XLOOKUP(A52,TRIM(DatenGalle[Art der Leistung]),DatenGalle[Operationsart],"")</f>
        <v>Galle</v>
      </c>
      <c r="D52" s="7">
        <f>SUMIFS(DatenGalle[Anzahl],DatenGalle[Art der Leistung],$A52,DatenGalle[Kategorie (Labor, Rad, Lunge, EKG)],$B52,DatenGalle[Operationsart],$C52,DatenGalle[KH],"KH 1")</f>
        <v>3</v>
      </c>
      <c r="E52" s="7">
        <f>SUMIFS(DatenGalle[Anzahl],DatenGalle[Art der Leistung],$A52,DatenGalle[Kategorie (Labor, Rad, Lunge, EKG)],$B52,DatenGalle[Operationsart],$C52,DatenGalle[KH],"KH 2")</f>
        <v>3</v>
      </c>
      <c r="F52" s="10"/>
      <c r="I52" s="14" t="s">
        <v>67</v>
      </c>
      <c r="J52" t="s">
        <v>63</v>
      </c>
      <c r="K52" s="7" t="s">
        <v>108</v>
      </c>
      <c r="L52" s="7">
        <v>3</v>
      </c>
      <c r="M52" s="7">
        <v>3</v>
      </c>
      <c r="N52" s="7">
        <f>AVERAGE(GalleVergleich[[#This Row],[Anzahl KH1]],GalleVergleich[[#This Row],[Anzahl KH2]])</f>
        <v>3</v>
      </c>
      <c r="O52" s="7">
        <f>ABS(GalleVergleich[[#This Row],[Anzahl KH1]]-GalleVergleich[[#This Row],[Anzahl KH2]])</f>
        <v>0</v>
      </c>
      <c r="P52" s="7">
        <f>IF(MAX(GalleVergleich[[#This Row],[Anzahl KH1]],GalleVergleich[[#This Row],[Anzahl KH2]])=0,0,ABS(GalleVergleich[[#This Row],[Anzahl KH1]]-GalleVergleich[[#This Row],[Anzahl KH2]])/MAX(GalleVergleich[[#This Row],[Anzahl KH1]],GalleVergleich[[#This Row],[Anzahl KH2]]))</f>
        <v>0</v>
      </c>
      <c r="Q52" s="7">
        <f>IF(MIN(GalleVergleich[[#This Row],[Anzahl KH1]],GalleVergleich[[#This Row],[Anzahl KH2]])=0,"∞",MAX(GalleVergleich[[#This Row],[Anzahl KH1]],GalleVergleich[[#This Row],[Anzahl KH2]])/MIN(GalleVergleich[[#This Row],[Anzahl KH1]],GalleVergleich[[#This Row],[Anzahl KH2]]))</f>
        <v>1</v>
      </c>
      <c r="R52" s="6">
        <f>ABS(GalleVergleich[[#This Row],[Anzahl KH1]]-GalleVergleich[[#This Row],[Anzahl KH2]])*0.35</f>
        <v>0</v>
      </c>
    </row>
    <row r="53" spans="1:18" ht="15" thickBot="1" x14ac:dyDescent="0.35">
      <c r="A53" s="4" t="str">
        <v>US: Becken</v>
      </c>
      <c r="B53" t="str" cm="1">
        <f t="array" ref="B53">_xlfn.XLOOKUP(A53,TRIM(DatenGalle[Art der Leistung]),DatenGalle[Kategorie (Labor, Rad, Lunge, EKG)],"")</f>
        <v>Radiologieleistungen</v>
      </c>
      <c r="C53" s="7" t="str" cm="1">
        <f t="array" ref="C53">_xlfn.XLOOKUP(A53,TRIM(DatenGalle[Art der Leistung]),DatenGalle[Operationsart],"")</f>
        <v>Galle</v>
      </c>
      <c r="D53" s="7">
        <f>SUMIFS(DatenGalle[Anzahl],DatenGalle[Art der Leistung],$A53,DatenGalle[Kategorie (Labor, Rad, Lunge, EKG)],$B53,DatenGalle[Operationsart],$C53,DatenGalle[KH],"KH 1")</f>
        <v>4</v>
      </c>
      <c r="E53" s="7">
        <f>SUMIFS(DatenGalle[Anzahl],DatenGalle[Art der Leistung],$A53,DatenGalle[Kategorie (Labor, Rad, Lunge, EKG)],$B53,DatenGalle[Operationsart],$C53,DatenGalle[KH],"KH 2")</f>
        <v>3</v>
      </c>
      <c r="F53" s="10"/>
      <c r="I53" s="14" t="s">
        <v>68</v>
      </c>
      <c r="J53" t="s">
        <v>63</v>
      </c>
      <c r="K53" s="7" t="s">
        <v>108</v>
      </c>
      <c r="L53" s="7">
        <v>4</v>
      </c>
      <c r="M53" s="7">
        <v>3</v>
      </c>
      <c r="N53" s="7">
        <f>AVERAGE(GalleVergleich[[#This Row],[Anzahl KH1]],GalleVergleich[[#This Row],[Anzahl KH2]])</f>
        <v>3.5</v>
      </c>
      <c r="O53" s="7">
        <f>ABS(GalleVergleich[[#This Row],[Anzahl KH1]]-GalleVergleich[[#This Row],[Anzahl KH2]])</f>
        <v>1</v>
      </c>
      <c r="P53" s="7">
        <f>IF(MAX(GalleVergleich[[#This Row],[Anzahl KH1]],GalleVergleich[[#This Row],[Anzahl KH2]])=0,0,ABS(GalleVergleich[[#This Row],[Anzahl KH1]]-GalleVergleich[[#This Row],[Anzahl KH2]])/MAX(GalleVergleich[[#This Row],[Anzahl KH1]],GalleVergleich[[#This Row],[Anzahl KH2]]))</f>
        <v>0.25</v>
      </c>
      <c r="Q53" s="7">
        <f>IF(MIN(GalleVergleich[[#This Row],[Anzahl KH1]],GalleVergleich[[#This Row],[Anzahl KH2]])=0,"∞",MAX(GalleVergleich[[#This Row],[Anzahl KH1]],GalleVergleich[[#This Row],[Anzahl KH2]])/MIN(GalleVergleich[[#This Row],[Anzahl KH1]],GalleVergleich[[#This Row],[Anzahl KH2]]))</f>
        <v>1.3333333333333333</v>
      </c>
      <c r="R53" s="6">
        <f>ABS(GalleVergleich[[#This Row],[Anzahl KH1]]-GalleVergleich[[#This Row],[Anzahl KH2]])*0.35</f>
        <v>0.35</v>
      </c>
    </row>
    <row r="54" spans="1:18" ht="15" thickBot="1" x14ac:dyDescent="0.35">
      <c r="A54" s="4" t="str">
        <v>RÖ: Schulter</v>
      </c>
      <c r="B54" t="str" cm="1">
        <f t="array" ref="B54">_xlfn.XLOOKUP(A54,TRIM(DatenGalle[Art der Leistung]),DatenGalle[Kategorie (Labor, Rad, Lunge, EKG)],"")</f>
        <v>Radiologieleistungen</v>
      </c>
      <c r="C54" s="7" t="str" cm="1">
        <f t="array" ref="C54">_xlfn.XLOOKUP(A54,TRIM(DatenGalle[Art der Leistung]),DatenGalle[Operationsart],"")</f>
        <v>Galle</v>
      </c>
      <c r="D54" s="7">
        <f>SUMIFS(DatenGalle[Anzahl],DatenGalle[Art der Leistung],$A54,DatenGalle[Kategorie (Labor, Rad, Lunge, EKG)],$B54,DatenGalle[Operationsart],$C54,DatenGalle[KH],"KH 1")</f>
        <v>0</v>
      </c>
      <c r="E54" s="7">
        <f>SUMIFS(DatenGalle[Anzahl],DatenGalle[Art der Leistung],$A54,DatenGalle[Kategorie (Labor, Rad, Lunge, EKG)],$B54,DatenGalle[Operationsart],$C54,DatenGalle[KH],"KH 2")</f>
        <v>3</v>
      </c>
      <c r="F54" s="10"/>
      <c r="I54" s="14" t="s">
        <v>114</v>
      </c>
      <c r="J54" t="s">
        <v>63</v>
      </c>
      <c r="K54" s="7" t="s">
        <v>108</v>
      </c>
      <c r="L54" s="7">
        <v>0</v>
      </c>
      <c r="M54" s="7">
        <v>3</v>
      </c>
      <c r="N54" s="7">
        <f>AVERAGE(GalleVergleich[[#This Row],[Anzahl KH1]],GalleVergleich[[#This Row],[Anzahl KH2]])</f>
        <v>1.5</v>
      </c>
      <c r="O54" s="7">
        <f>ABS(GalleVergleich[[#This Row],[Anzahl KH1]]-GalleVergleich[[#This Row],[Anzahl KH2]])</f>
        <v>3</v>
      </c>
      <c r="P54" s="7">
        <f>IF(MAX(GalleVergleich[[#This Row],[Anzahl KH1]],GalleVergleich[[#This Row],[Anzahl KH2]])=0,0,ABS(GalleVergleich[[#This Row],[Anzahl KH1]]-GalleVergleich[[#This Row],[Anzahl KH2]])/MAX(GalleVergleich[[#This Row],[Anzahl KH1]],GalleVergleich[[#This Row],[Anzahl KH2]]))</f>
        <v>1</v>
      </c>
      <c r="Q54" s="7" t="str">
        <f>IF(MIN(GalleVergleich[[#This Row],[Anzahl KH1]],GalleVergleich[[#This Row],[Anzahl KH2]])=0,"∞",MAX(GalleVergleich[[#This Row],[Anzahl KH1]],GalleVergleich[[#This Row],[Anzahl KH2]])/MIN(GalleVergleich[[#This Row],[Anzahl KH1]],GalleVergleich[[#This Row],[Anzahl KH2]]))</f>
        <v>∞</v>
      </c>
      <c r="R54" s="6">
        <f>ABS(GalleVergleich[[#This Row],[Anzahl KH1]]-GalleVergleich[[#This Row],[Anzahl KH2]])*0.35</f>
        <v>1.0499999999999998</v>
      </c>
    </row>
    <row r="55" spans="1:18" ht="15" thickBot="1" x14ac:dyDescent="0.35">
      <c r="A55" s="4" t="str">
        <v>CT: Becken</v>
      </c>
      <c r="B55" t="str" cm="1">
        <f t="array" ref="B55">_xlfn.XLOOKUP(A55,TRIM(DatenGalle[Art der Leistung]),DatenGalle[Kategorie (Labor, Rad, Lunge, EKG)],"")</f>
        <v>Radiologieleistungen</v>
      </c>
      <c r="C55" s="7" t="str" cm="1">
        <f t="array" ref="C55">_xlfn.XLOOKUP(A55,TRIM(DatenGalle[Art der Leistung]),DatenGalle[Operationsart],"")</f>
        <v>Galle</v>
      </c>
      <c r="D55" s="7">
        <f>SUMIFS(DatenGalle[Anzahl],DatenGalle[Art der Leistung],$A55,DatenGalle[Kategorie (Labor, Rad, Lunge, EKG)],$B55,DatenGalle[Operationsart],$C55,DatenGalle[KH],"KH 1")</f>
        <v>0</v>
      </c>
      <c r="E55" s="7">
        <f>SUMIFS(DatenGalle[Anzahl],DatenGalle[Art der Leistung],$A55,DatenGalle[Kategorie (Labor, Rad, Lunge, EKG)],$B55,DatenGalle[Operationsart],$C55,DatenGalle[KH],"KH 2")</f>
        <v>2</v>
      </c>
      <c r="F55" s="10"/>
      <c r="I55" s="14" t="s">
        <v>65</v>
      </c>
      <c r="J55" t="s">
        <v>63</v>
      </c>
      <c r="K55" s="7" t="s">
        <v>108</v>
      </c>
      <c r="L55" s="7">
        <v>0</v>
      </c>
      <c r="M55" s="7">
        <v>2</v>
      </c>
      <c r="N55" s="7">
        <f>AVERAGE(GalleVergleich[[#This Row],[Anzahl KH1]],GalleVergleich[[#This Row],[Anzahl KH2]])</f>
        <v>1</v>
      </c>
      <c r="O55" s="7">
        <f>ABS(GalleVergleich[[#This Row],[Anzahl KH1]]-GalleVergleich[[#This Row],[Anzahl KH2]])</f>
        <v>2</v>
      </c>
      <c r="P55" s="7">
        <f>IF(MAX(GalleVergleich[[#This Row],[Anzahl KH1]],GalleVergleich[[#This Row],[Anzahl KH2]])=0,0,ABS(GalleVergleich[[#This Row],[Anzahl KH1]]-GalleVergleich[[#This Row],[Anzahl KH2]])/MAX(GalleVergleich[[#This Row],[Anzahl KH1]],GalleVergleich[[#This Row],[Anzahl KH2]]))</f>
        <v>1</v>
      </c>
      <c r="Q55" s="7" t="str">
        <f>IF(MIN(GalleVergleich[[#This Row],[Anzahl KH1]],GalleVergleich[[#This Row],[Anzahl KH2]])=0,"∞",MAX(GalleVergleich[[#This Row],[Anzahl KH1]],GalleVergleich[[#This Row],[Anzahl KH2]])/MIN(GalleVergleich[[#This Row],[Anzahl KH1]],GalleVergleich[[#This Row],[Anzahl KH2]]))</f>
        <v>∞</v>
      </c>
      <c r="R55" s="6">
        <f>ABS(GalleVergleich[[#This Row],[Anzahl KH1]]-GalleVergleich[[#This Row],[Anzahl KH2]])*0.35</f>
        <v>0.7</v>
      </c>
    </row>
    <row r="56" spans="1:18" ht="15" thickBot="1" x14ac:dyDescent="0.35">
      <c r="A56" s="4" t="str">
        <v>CT: Harnorgane</v>
      </c>
      <c r="B56" t="str" cm="1">
        <f t="array" ref="B56">_xlfn.XLOOKUP(A56,TRIM(DatenGalle[Art der Leistung]),DatenGalle[Kategorie (Labor, Rad, Lunge, EKG)],"")</f>
        <v>Radiologieleistungen</v>
      </c>
      <c r="C56" s="7" t="str" cm="1">
        <f t="array" ref="C56">_xlfn.XLOOKUP(A56,TRIM(DatenGalle[Art der Leistung]),DatenGalle[Operationsart],"")</f>
        <v>Galle</v>
      </c>
      <c r="D56" s="7">
        <f>SUMIFS(DatenGalle[Anzahl],DatenGalle[Art der Leistung],$A56,DatenGalle[Kategorie (Labor, Rad, Lunge, EKG)],$B56,DatenGalle[Operationsart],$C56,DatenGalle[KH],"KH 1")</f>
        <v>0</v>
      </c>
      <c r="E56" s="7">
        <f>SUMIFS(DatenGalle[Anzahl],DatenGalle[Art der Leistung],$A56,DatenGalle[Kategorie (Labor, Rad, Lunge, EKG)],$B56,DatenGalle[Operationsart],$C56,DatenGalle[KH],"KH 2")</f>
        <v>2</v>
      </c>
      <c r="F56" s="10"/>
      <c r="I56" s="14" t="s">
        <v>70</v>
      </c>
      <c r="J56" t="s">
        <v>63</v>
      </c>
      <c r="K56" s="7" t="s">
        <v>108</v>
      </c>
      <c r="L56" s="7">
        <v>0</v>
      </c>
      <c r="M56" s="7">
        <v>2</v>
      </c>
      <c r="N56" s="7">
        <f>AVERAGE(GalleVergleich[[#This Row],[Anzahl KH1]],GalleVergleich[[#This Row],[Anzahl KH2]])</f>
        <v>1</v>
      </c>
      <c r="O56" s="7">
        <f>ABS(GalleVergleich[[#This Row],[Anzahl KH1]]-GalleVergleich[[#This Row],[Anzahl KH2]])</f>
        <v>2</v>
      </c>
      <c r="P56" s="7">
        <f>IF(MAX(GalleVergleich[[#This Row],[Anzahl KH1]],GalleVergleich[[#This Row],[Anzahl KH2]])=0,0,ABS(GalleVergleich[[#This Row],[Anzahl KH1]]-GalleVergleich[[#This Row],[Anzahl KH2]])/MAX(GalleVergleich[[#This Row],[Anzahl KH1]],GalleVergleich[[#This Row],[Anzahl KH2]]))</f>
        <v>1</v>
      </c>
      <c r="Q56" s="7" t="str">
        <f>IF(MIN(GalleVergleich[[#This Row],[Anzahl KH1]],GalleVergleich[[#This Row],[Anzahl KH2]])=0,"∞",MAX(GalleVergleich[[#This Row],[Anzahl KH1]],GalleVergleich[[#This Row],[Anzahl KH2]])/MIN(GalleVergleich[[#This Row],[Anzahl KH1]],GalleVergleich[[#This Row],[Anzahl KH2]]))</f>
        <v>∞</v>
      </c>
      <c r="R56" s="6">
        <f>ABS(GalleVergleich[[#This Row],[Anzahl KH1]]-GalleVergleich[[#This Row],[Anzahl KH2]])*0.35</f>
        <v>0.7</v>
      </c>
    </row>
    <row r="57" spans="1:18" ht="15" thickBot="1" x14ac:dyDescent="0.35">
      <c r="A57" s="4" t="str">
        <v>US: Schilddrüse</v>
      </c>
      <c r="B57" t="str" cm="1">
        <f t="array" ref="B57">_xlfn.XLOOKUP(A57,TRIM(DatenGalle[Art der Leistung]),DatenGalle[Kategorie (Labor, Rad, Lunge, EKG)],"")</f>
        <v>Radiologieleistungen</v>
      </c>
      <c r="C57" s="7" t="str" cm="1">
        <f t="array" ref="C57">_xlfn.XLOOKUP(A57,TRIM(DatenGalle[Art der Leistung]),DatenGalle[Operationsart],"")</f>
        <v>Galle</v>
      </c>
      <c r="D57" s="7">
        <f>SUMIFS(DatenGalle[Anzahl],DatenGalle[Art der Leistung],$A57,DatenGalle[Kategorie (Labor, Rad, Lunge, EKG)],$B57,DatenGalle[Operationsart],$C57,DatenGalle[KH],"KH 1")</f>
        <v>0</v>
      </c>
      <c r="E57" s="7">
        <f>SUMIFS(DatenGalle[Anzahl],DatenGalle[Art der Leistung],$A57,DatenGalle[Kategorie (Labor, Rad, Lunge, EKG)],$B57,DatenGalle[Operationsart],$C57,DatenGalle[KH],"KH 2")</f>
        <v>2</v>
      </c>
      <c r="F57" s="10"/>
      <c r="I57" s="14" t="s">
        <v>115</v>
      </c>
      <c r="J57" t="s">
        <v>63</v>
      </c>
      <c r="K57" s="7" t="s">
        <v>108</v>
      </c>
      <c r="L57" s="7">
        <v>0</v>
      </c>
      <c r="M57" s="7">
        <v>2</v>
      </c>
      <c r="N57" s="7">
        <f>AVERAGE(GalleVergleich[[#This Row],[Anzahl KH1]],GalleVergleich[[#This Row],[Anzahl KH2]])</f>
        <v>1</v>
      </c>
      <c r="O57" s="7">
        <f>ABS(GalleVergleich[[#This Row],[Anzahl KH1]]-GalleVergleich[[#This Row],[Anzahl KH2]])</f>
        <v>2</v>
      </c>
      <c r="P57" s="7">
        <f>IF(MAX(GalleVergleich[[#This Row],[Anzahl KH1]],GalleVergleich[[#This Row],[Anzahl KH2]])=0,0,ABS(GalleVergleich[[#This Row],[Anzahl KH1]]-GalleVergleich[[#This Row],[Anzahl KH2]])/MAX(GalleVergleich[[#This Row],[Anzahl KH1]],GalleVergleich[[#This Row],[Anzahl KH2]]))</f>
        <v>1</v>
      </c>
      <c r="Q57" s="7" t="str">
        <f>IF(MIN(GalleVergleich[[#This Row],[Anzahl KH1]],GalleVergleich[[#This Row],[Anzahl KH2]])=0,"∞",MAX(GalleVergleich[[#This Row],[Anzahl KH1]],GalleVergleich[[#This Row],[Anzahl KH2]])/MIN(GalleVergleich[[#This Row],[Anzahl KH1]],GalleVergleich[[#This Row],[Anzahl KH2]]))</f>
        <v>∞</v>
      </c>
      <c r="R57" s="6">
        <f>ABS(GalleVergleich[[#This Row],[Anzahl KH1]]-GalleVergleich[[#This Row],[Anzahl KH2]])*0.35</f>
        <v>0.7</v>
      </c>
    </row>
    <row r="58" spans="1:18" ht="15" thickBot="1" x14ac:dyDescent="0.35">
      <c r="A58" s="4" t="str">
        <v>CT: Oberbauch</v>
      </c>
      <c r="B58" t="str" cm="1">
        <f t="array" ref="B58">_xlfn.XLOOKUP(A58,TRIM(DatenGalle[Art der Leistung]),DatenGalle[Kategorie (Labor, Rad, Lunge, EKG)],"")</f>
        <v>Radiologieleistungen</v>
      </c>
      <c r="C58" s="7" t="str" cm="1">
        <f t="array" ref="C58">_xlfn.XLOOKUP(A58,TRIM(DatenGalle[Art der Leistung]),DatenGalle[Operationsart],"")</f>
        <v>Galle</v>
      </c>
      <c r="D58" s="7">
        <f>SUMIFS(DatenGalle[Anzahl],DatenGalle[Art der Leistung],$A58,DatenGalle[Kategorie (Labor, Rad, Lunge, EKG)],$B58,DatenGalle[Operationsart],$C58,DatenGalle[KH],"KH 1")</f>
        <v>0</v>
      </c>
      <c r="E58" s="7">
        <f>SUMIFS(DatenGalle[Anzahl],DatenGalle[Art der Leistung],$A58,DatenGalle[Kategorie (Labor, Rad, Lunge, EKG)],$B58,DatenGalle[Operationsart],$C58,DatenGalle[KH],"KH 2")</f>
        <v>2</v>
      </c>
      <c r="F58" s="10"/>
      <c r="I58" s="14" t="s">
        <v>66</v>
      </c>
      <c r="J58" t="s">
        <v>63</v>
      </c>
      <c r="K58" s="7" t="s">
        <v>108</v>
      </c>
      <c r="L58" s="7">
        <v>0</v>
      </c>
      <c r="M58" s="7">
        <v>2</v>
      </c>
      <c r="N58" s="7">
        <f>AVERAGE(GalleVergleich[[#This Row],[Anzahl KH1]],GalleVergleich[[#This Row],[Anzahl KH2]])</f>
        <v>1</v>
      </c>
      <c r="O58" s="7">
        <f>ABS(GalleVergleich[[#This Row],[Anzahl KH1]]-GalleVergleich[[#This Row],[Anzahl KH2]])</f>
        <v>2</v>
      </c>
      <c r="P58" s="7">
        <f>IF(MAX(GalleVergleich[[#This Row],[Anzahl KH1]],GalleVergleich[[#This Row],[Anzahl KH2]])=0,0,ABS(GalleVergleich[[#This Row],[Anzahl KH1]]-GalleVergleich[[#This Row],[Anzahl KH2]])/MAX(GalleVergleich[[#This Row],[Anzahl KH1]],GalleVergleich[[#This Row],[Anzahl KH2]]))</f>
        <v>1</v>
      </c>
      <c r="Q58" s="7" t="str">
        <f>IF(MIN(GalleVergleich[[#This Row],[Anzahl KH1]],GalleVergleich[[#This Row],[Anzahl KH2]])=0,"∞",MAX(GalleVergleich[[#This Row],[Anzahl KH1]],GalleVergleich[[#This Row],[Anzahl KH2]])/MIN(GalleVergleich[[#This Row],[Anzahl KH1]],GalleVergleich[[#This Row],[Anzahl KH2]]))</f>
        <v>∞</v>
      </c>
      <c r="R58" s="6">
        <f>ABS(GalleVergleich[[#This Row],[Anzahl KH1]]-GalleVergleich[[#This Row],[Anzahl KH2]])*0.35</f>
        <v>0.7</v>
      </c>
    </row>
    <row r="59" spans="1:18" ht="15" thickBot="1" x14ac:dyDescent="0.35">
      <c r="A59" s="4" t="str">
        <v>Angio: CT untere Extremität</v>
      </c>
      <c r="B59" t="str" cm="1">
        <f t="array" ref="B59">_xlfn.XLOOKUP(A59,TRIM(DatenGalle[Art der Leistung]),DatenGalle[Kategorie (Labor, Rad, Lunge, EKG)],"")</f>
        <v>Radiologieleistungen</v>
      </c>
      <c r="C59" s="7" t="str" cm="1">
        <f t="array" ref="C59">_xlfn.XLOOKUP(A59,TRIM(DatenGalle[Art der Leistung]),DatenGalle[Operationsart],"")</f>
        <v>Galle</v>
      </c>
      <c r="D59" s="7">
        <f>SUMIFS(DatenGalle[Anzahl],DatenGalle[Art der Leistung],$A59,DatenGalle[Kategorie (Labor, Rad, Lunge, EKG)],$B59,DatenGalle[Operationsart],$C59,DatenGalle[KH],"KH 1")</f>
        <v>0</v>
      </c>
      <c r="E59" s="7">
        <f>SUMIFS(DatenGalle[Anzahl],DatenGalle[Art der Leistung],$A59,DatenGalle[Kategorie (Labor, Rad, Lunge, EKG)],$B59,DatenGalle[Operationsart],$C59,DatenGalle[KH],"KH 2")</f>
        <v>1</v>
      </c>
      <c r="F59" s="10"/>
      <c r="I59" s="14" t="s">
        <v>116</v>
      </c>
      <c r="J59" t="s">
        <v>63</v>
      </c>
      <c r="K59" s="7" t="s">
        <v>108</v>
      </c>
      <c r="L59" s="7">
        <v>0</v>
      </c>
      <c r="M59" s="7">
        <v>1</v>
      </c>
      <c r="N59" s="7">
        <f>AVERAGE(GalleVergleich[[#This Row],[Anzahl KH1]],GalleVergleich[[#This Row],[Anzahl KH2]])</f>
        <v>0.5</v>
      </c>
      <c r="O59" s="7">
        <f>ABS(GalleVergleich[[#This Row],[Anzahl KH1]]-GalleVergleich[[#This Row],[Anzahl KH2]])</f>
        <v>1</v>
      </c>
      <c r="P59" s="7">
        <f>IF(MAX(GalleVergleich[[#This Row],[Anzahl KH1]],GalleVergleich[[#This Row],[Anzahl KH2]])=0,0,ABS(GalleVergleich[[#This Row],[Anzahl KH1]]-GalleVergleich[[#This Row],[Anzahl KH2]])/MAX(GalleVergleich[[#This Row],[Anzahl KH1]],GalleVergleich[[#This Row],[Anzahl KH2]]))</f>
        <v>1</v>
      </c>
      <c r="Q59" s="7" t="str">
        <f>IF(MIN(GalleVergleich[[#This Row],[Anzahl KH1]],GalleVergleich[[#This Row],[Anzahl KH2]])=0,"∞",MAX(GalleVergleich[[#This Row],[Anzahl KH1]],GalleVergleich[[#This Row],[Anzahl KH2]])/MIN(GalleVergleich[[#This Row],[Anzahl KH1]],GalleVergleich[[#This Row],[Anzahl KH2]]))</f>
        <v>∞</v>
      </c>
      <c r="R59" s="6">
        <f>ABS(GalleVergleich[[#This Row],[Anzahl KH1]]-GalleVergleich[[#This Row],[Anzahl KH2]])*0.35</f>
        <v>0.35</v>
      </c>
    </row>
    <row r="60" spans="1:18" ht="15" thickBot="1" x14ac:dyDescent="0.35">
      <c r="A60" s="4" t="str">
        <v>RÖ: Sinus paranasales</v>
      </c>
      <c r="B60" t="str" cm="1">
        <f t="array" ref="B60">_xlfn.XLOOKUP(A60,TRIM(DatenGalle[Art der Leistung]),DatenGalle[Kategorie (Labor, Rad, Lunge, EKG)],"")</f>
        <v>Radiologieleistungen</v>
      </c>
      <c r="C60" s="7" t="str" cm="1">
        <f t="array" ref="C60">_xlfn.XLOOKUP(A60,TRIM(DatenGalle[Art der Leistung]),DatenGalle[Operationsart],"")</f>
        <v>Galle</v>
      </c>
      <c r="D60" s="7">
        <f>SUMIFS(DatenGalle[Anzahl],DatenGalle[Art der Leistung],$A60,DatenGalle[Kategorie (Labor, Rad, Lunge, EKG)],$B60,DatenGalle[Operationsart],$C60,DatenGalle[KH],"KH 1")</f>
        <v>0</v>
      </c>
      <c r="E60" s="7">
        <f>SUMIFS(DatenGalle[Anzahl],DatenGalle[Art der Leistung],$A60,DatenGalle[Kategorie (Labor, Rad, Lunge, EKG)],$B60,DatenGalle[Operationsart],$C60,DatenGalle[KH],"KH 2")</f>
        <v>1</v>
      </c>
      <c r="F60" s="10"/>
      <c r="I60" s="14" t="s">
        <v>117</v>
      </c>
      <c r="J60" t="s">
        <v>63</v>
      </c>
      <c r="K60" s="7" t="s">
        <v>108</v>
      </c>
      <c r="L60" s="7">
        <v>0</v>
      </c>
      <c r="M60" s="7">
        <v>1</v>
      </c>
      <c r="N60" s="7">
        <f>AVERAGE(GalleVergleich[[#This Row],[Anzahl KH1]],GalleVergleich[[#This Row],[Anzahl KH2]])</f>
        <v>0.5</v>
      </c>
      <c r="O60" s="7">
        <f>ABS(GalleVergleich[[#This Row],[Anzahl KH1]]-GalleVergleich[[#This Row],[Anzahl KH2]])</f>
        <v>1</v>
      </c>
      <c r="P60" s="7">
        <f>IF(MAX(GalleVergleich[[#This Row],[Anzahl KH1]],GalleVergleich[[#This Row],[Anzahl KH2]])=0,0,ABS(GalleVergleich[[#This Row],[Anzahl KH1]]-GalleVergleich[[#This Row],[Anzahl KH2]])/MAX(GalleVergleich[[#This Row],[Anzahl KH1]],GalleVergleich[[#This Row],[Anzahl KH2]]))</f>
        <v>1</v>
      </c>
      <c r="Q60" s="7" t="str">
        <f>IF(MIN(GalleVergleich[[#This Row],[Anzahl KH1]],GalleVergleich[[#This Row],[Anzahl KH2]])=0,"∞",MAX(GalleVergleich[[#This Row],[Anzahl KH1]],GalleVergleich[[#This Row],[Anzahl KH2]])/MIN(GalleVergleich[[#This Row],[Anzahl KH1]],GalleVergleich[[#This Row],[Anzahl KH2]]))</f>
        <v>∞</v>
      </c>
      <c r="R60" s="6">
        <f>ABS(GalleVergleich[[#This Row],[Anzahl KH1]]-GalleVergleich[[#This Row],[Anzahl KH2]])*0.35</f>
        <v>0.35</v>
      </c>
    </row>
    <row r="61" spans="1:18" ht="15" thickBot="1" x14ac:dyDescent="0.35">
      <c r="A61" s="4" t="str">
        <v>RÖ: Becken</v>
      </c>
      <c r="B61" t="str" cm="1">
        <f t="array" ref="B61">_xlfn.XLOOKUP(A61,TRIM(DatenGalle[Art der Leistung]),DatenGalle[Kategorie (Labor, Rad, Lunge, EKG)],"")</f>
        <v>Radiologieleistungen</v>
      </c>
      <c r="C61" s="7" t="str" cm="1">
        <f t="array" ref="C61">_xlfn.XLOOKUP(A61,TRIM(DatenGalle[Art der Leistung]),DatenGalle[Operationsart],"")</f>
        <v>Galle</v>
      </c>
      <c r="D61" s="7">
        <f>SUMIFS(DatenGalle[Anzahl],DatenGalle[Art der Leistung],$A61,DatenGalle[Kategorie (Labor, Rad, Lunge, EKG)],$B61,DatenGalle[Operationsart],$C61,DatenGalle[KH],"KH 1")</f>
        <v>0</v>
      </c>
      <c r="E61" s="7">
        <f>SUMIFS(DatenGalle[Anzahl],DatenGalle[Art der Leistung],$A61,DatenGalle[Kategorie (Labor, Rad, Lunge, EKG)],$B61,DatenGalle[Operationsart],$C61,DatenGalle[KH],"KH 2")</f>
        <v>1</v>
      </c>
      <c r="F61" s="10"/>
      <c r="I61" s="14" t="s">
        <v>88</v>
      </c>
      <c r="J61" t="s">
        <v>63</v>
      </c>
      <c r="K61" s="7" t="s">
        <v>108</v>
      </c>
      <c r="L61" s="7">
        <v>0</v>
      </c>
      <c r="M61" s="7">
        <v>1</v>
      </c>
      <c r="N61" s="7">
        <f>AVERAGE(GalleVergleich[[#This Row],[Anzahl KH1]],GalleVergleich[[#This Row],[Anzahl KH2]])</f>
        <v>0.5</v>
      </c>
      <c r="O61" s="7">
        <f>ABS(GalleVergleich[[#This Row],[Anzahl KH1]]-GalleVergleich[[#This Row],[Anzahl KH2]])</f>
        <v>1</v>
      </c>
      <c r="P61" s="7">
        <f>IF(MAX(GalleVergleich[[#This Row],[Anzahl KH1]],GalleVergleich[[#This Row],[Anzahl KH2]])=0,0,ABS(GalleVergleich[[#This Row],[Anzahl KH1]]-GalleVergleich[[#This Row],[Anzahl KH2]])/MAX(GalleVergleich[[#This Row],[Anzahl KH1]],GalleVergleich[[#This Row],[Anzahl KH2]]))</f>
        <v>1</v>
      </c>
      <c r="Q61" s="7" t="str">
        <f>IF(MIN(GalleVergleich[[#This Row],[Anzahl KH1]],GalleVergleich[[#This Row],[Anzahl KH2]])=0,"∞",MAX(GalleVergleich[[#This Row],[Anzahl KH1]],GalleVergleich[[#This Row],[Anzahl KH2]])/MIN(GalleVergleich[[#This Row],[Anzahl KH1]],GalleVergleich[[#This Row],[Anzahl KH2]]))</f>
        <v>∞</v>
      </c>
      <c r="R61" s="6">
        <f>ABS(GalleVergleich[[#This Row],[Anzahl KH1]]-GalleVergleich[[#This Row],[Anzahl KH2]])*0.35</f>
        <v>0.35</v>
      </c>
    </row>
    <row r="62" spans="1:18" ht="15" thickBot="1" x14ac:dyDescent="0.35">
      <c r="A62" s="4" t="str">
        <v>RÖ: Knie</v>
      </c>
      <c r="B62" t="str" cm="1">
        <f t="array" ref="B62">_xlfn.XLOOKUP(A62,TRIM(DatenGalle[Art der Leistung]),DatenGalle[Kategorie (Labor, Rad, Lunge, EKG)],"")</f>
        <v>Radiologieleistungen</v>
      </c>
      <c r="C62" s="7" t="str" cm="1">
        <f t="array" ref="C62">_xlfn.XLOOKUP(A62,TRIM(DatenGalle[Art der Leistung]),DatenGalle[Operationsart],"")</f>
        <v>Galle</v>
      </c>
      <c r="D62" s="7">
        <f>SUMIFS(DatenGalle[Anzahl],DatenGalle[Art der Leistung],$A62,DatenGalle[Kategorie (Labor, Rad, Lunge, EKG)],$B62,DatenGalle[Operationsart],$C62,DatenGalle[KH],"KH 1")</f>
        <v>0</v>
      </c>
      <c r="E62" s="7">
        <f>SUMIFS(DatenGalle[Anzahl],DatenGalle[Art der Leistung],$A62,DatenGalle[Kategorie (Labor, Rad, Lunge, EKG)],$B62,DatenGalle[Operationsart],$C62,DatenGalle[KH],"KH 2")</f>
        <v>1</v>
      </c>
      <c r="F62" s="10"/>
      <c r="I62" s="14" t="s">
        <v>118</v>
      </c>
      <c r="J62" t="s">
        <v>63</v>
      </c>
      <c r="K62" s="7" t="s">
        <v>108</v>
      </c>
      <c r="L62" s="7">
        <v>0</v>
      </c>
      <c r="M62" s="7">
        <v>1</v>
      </c>
      <c r="N62" s="7">
        <f>AVERAGE(GalleVergleich[[#This Row],[Anzahl KH1]],GalleVergleich[[#This Row],[Anzahl KH2]])</f>
        <v>0.5</v>
      </c>
      <c r="O62" s="7">
        <f>ABS(GalleVergleich[[#This Row],[Anzahl KH1]]-GalleVergleich[[#This Row],[Anzahl KH2]])</f>
        <v>1</v>
      </c>
      <c r="P62" s="7">
        <f>IF(MAX(GalleVergleich[[#This Row],[Anzahl KH1]],GalleVergleich[[#This Row],[Anzahl KH2]])=0,0,ABS(GalleVergleich[[#This Row],[Anzahl KH1]]-GalleVergleich[[#This Row],[Anzahl KH2]])/MAX(GalleVergleich[[#This Row],[Anzahl KH1]],GalleVergleich[[#This Row],[Anzahl KH2]]))</f>
        <v>1</v>
      </c>
      <c r="Q62" s="7" t="str">
        <f>IF(MIN(GalleVergleich[[#This Row],[Anzahl KH1]],GalleVergleich[[#This Row],[Anzahl KH2]])=0,"∞",MAX(GalleVergleich[[#This Row],[Anzahl KH1]],GalleVergleich[[#This Row],[Anzahl KH2]])/MIN(GalleVergleich[[#This Row],[Anzahl KH1]],GalleVergleich[[#This Row],[Anzahl KH2]]))</f>
        <v>∞</v>
      </c>
      <c r="R62" s="6">
        <f>ABS(GalleVergleich[[#This Row],[Anzahl KH1]]-GalleVergleich[[#This Row],[Anzahl KH2]])*0.35</f>
        <v>0.35</v>
      </c>
    </row>
    <row r="63" spans="1:18" ht="15" thickBot="1" x14ac:dyDescent="0.35">
      <c r="A63" s="4" t="str">
        <v>Spirometrie</v>
      </c>
      <c r="B63" t="str" cm="1">
        <f t="array" ref="B63">_xlfn.XLOOKUP(A63,TRIM(DatenGalle[Art der Leistung]),DatenGalle[Kategorie (Labor, Rad, Lunge, EKG)],"")</f>
        <v>Radiologieleistungen</v>
      </c>
      <c r="C63" s="7" t="str" cm="1">
        <f t="array" ref="C63">_xlfn.XLOOKUP(A63,TRIM(DatenGalle[Art der Leistung]),DatenGalle[Operationsart],"")</f>
        <v>Galle</v>
      </c>
      <c r="D63" s="7">
        <f>SUMIFS(DatenGalle[Anzahl],DatenGalle[Art der Leistung],$A63,DatenGalle[Kategorie (Labor, Rad, Lunge, EKG)],$B63,DatenGalle[Operationsart],$C63,DatenGalle[KH],"KH 1")</f>
        <v>0</v>
      </c>
      <c r="E63" s="7">
        <f>SUMIFS(DatenGalle[Anzahl],DatenGalle[Art der Leistung],$A63,DatenGalle[Kategorie (Labor, Rad, Lunge, EKG)],$B63,DatenGalle[Operationsart],$C63,DatenGalle[KH],"KH 2")</f>
        <v>1</v>
      </c>
      <c r="F63" s="10"/>
      <c r="I63" s="14" t="s">
        <v>119</v>
      </c>
      <c r="J63" t="s">
        <v>63</v>
      </c>
      <c r="K63" s="7" t="s">
        <v>108</v>
      </c>
      <c r="L63" s="7">
        <v>0</v>
      </c>
      <c r="M63" s="7">
        <v>1</v>
      </c>
      <c r="N63" s="7">
        <f>AVERAGE(GalleVergleich[[#This Row],[Anzahl KH1]],GalleVergleich[[#This Row],[Anzahl KH2]])</f>
        <v>0.5</v>
      </c>
      <c r="O63" s="7">
        <f>ABS(GalleVergleich[[#This Row],[Anzahl KH1]]-GalleVergleich[[#This Row],[Anzahl KH2]])</f>
        <v>1</v>
      </c>
      <c r="P63" s="7">
        <f>IF(MAX(GalleVergleich[[#This Row],[Anzahl KH1]],GalleVergleich[[#This Row],[Anzahl KH2]])=0,0,ABS(GalleVergleich[[#This Row],[Anzahl KH1]]-GalleVergleich[[#This Row],[Anzahl KH2]])/MAX(GalleVergleich[[#This Row],[Anzahl KH1]],GalleVergleich[[#This Row],[Anzahl KH2]]))</f>
        <v>1</v>
      </c>
      <c r="Q63" s="7" t="str">
        <f>IF(MIN(GalleVergleich[[#This Row],[Anzahl KH1]],GalleVergleich[[#This Row],[Anzahl KH2]])=0,"∞",MAX(GalleVergleich[[#This Row],[Anzahl KH1]],GalleVergleich[[#This Row],[Anzahl KH2]])/MIN(GalleVergleich[[#This Row],[Anzahl KH1]],GalleVergleich[[#This Row],[Anzahl KH2]]))</f>
        <v>∞</v>
      </c>
      <c r="R63" s="6">
        <f>ABS(GalleVergleich[[#This Row],[Anzahl KH1]]-GalleVergleich[[#This Row],[Anzahl KH2]])*0.35</f>
        <v>0.35</v>
      </c>
    </row>
    <row r="64" spans="1:18" ht="15" thickBot="1" x14ac:dyDescent="0.35">
      <c r="A64" s="4" t="str">
        <v>US: Periphere Gefäße</v>
      </c>
      <c r="B64" t="str" cm="1">
        <f t="array" ref="B64">_xlfn.XLOOKUP(A64,TRIM(DatenGalle[Art der Leistung]),DatenGalle[Kategorie (Labor, Rad, Lunge, EKG)],"")</f>
        <v>Radiologieleistungen</v>
      </c>
      <c r="C64" s="7" t="str" cm="1">
        <f t="array" ref="C64">_xlfn.XLOOKUP(A64,TRIM(DatenGalle[Art der Leistung]),DatenGalle[Operationsart],"")</f>
        <v>Galle</v>
      </c>
      <c r="D64" s="7">
        <f>SUMIFS(DatenGalle[Anzahl],DatenGalle[Art der Leistung],$A64,DatenGalle[Kategorie (Labor, Rad, Lunge, EKG)],$B64,DatenGalle[Operationsart],$C64,DatenGalle[KH],"KH 1")</f>
        <v>1</v>
      </c>
      <c r="E64" s="7">
        <f>SUMIFS(DatenGalle[Anzahl],DatenGalle[Art der Leistung],$A64,DatenGalle[Kategorie (Labor, Rad, Lunge, EKG)],$B64,DatenGalle[Operationsart],$C64,DatenGalle[KH],"KH 2")</f>
        <v>1</v>
      </c>
      <c r="F64" s="10"/>
      <c r="I64" s="14" t="s">
        <v>97</v>
      </c>
      <c r="J64" t="s">
        <v>63</v>
      </c>
      <c r="K64" s="7" t="s">
        <v>108</v>
      </c>
      <c r="L64" s="7">
        <v>1</v>
      </c>
      <c r="M64" s="7">
        <v>1</v>
      </c>
      <c r="N64" s="7">
        <f>AVERAGE(GalleVergleich[[#This Row],[Anzahl KH1]],GalleVergleich[[#This Row],[Anzahl KH2]])</f>
        <v>1</v>
      </c>
      <c r="O64" s="7">
        <f>ABS(GalleVergleich[[#This Row],[Anzahl KH1]]-GalleVergleich[[#This Row],[Anzahl KH2]])</f>
        <v>0</v>
      </c>
      <c r="P64" s="7">
        <f>IF(MAX(GalleVergleich[[#This Row],[Anzahl KH1]],GalleVergleich[[#This Row],[Anzahl KH2]])=0,0,ABS(GalleVergleich[[#This Row],[Anzahl KH1]]-GalleVergleich[[#This Row],[Anzahl KH2]])/MAX(GalleVergleich[[#This Row],[Anzahl KH1]],GalleVergleich[[#This Row],[Anzahl KH2]]))</f>
        <v>0</v>
      </c>
      <c r="Q64" s="7">
        <f>IF(MIN(GalleVergleich[[#This Row],[Anzahl KH1]],GalleVergleich[[#This Row],[Anzahl KH2]])=0,"∞",MAX(GalleVergleich[[#This Row],[Anzahl KH1]],GalleVergleich[[#This Row],[Anzahl KH2]])/MIN(GalleVergleich[[#This Row],[Anzahl KH1]],GalleVergleich[[#This Row],[Anzahl KH2]]))</f>
        <v>1</v>
      </c>
      <c r="R64" s="6">
        <f>ABS(GalleVergleich[[#This Row],[Anzahl KH1]]-GalleVergleich[[#This Row],[Anzahl KH2]])*0.35</f>
        <v>0</v>
      </c>
    </row>
    <row r="65" spans="1:18" ht="15" thickBot="1" x14ac:dyDescent="0.35">
      <c r="A65" s="4" t="str">
        <v>RÖ: Hüfte</v>
      </c>
      <c r="B65" t="str" cm="1">
        <f t="array" ref="B65">_xlfn.XLOOKUP(A65,TRIM(DatenGalle[Art der Leistung]),DatenGalle[Kategorie (Labor, Rad, Lunge, EKG)],"")</f>
        <v>Radiologieleistungen</v>
      </c>
      <c r="C65" s="7" t="str" cm="1">
        <f t="array" ref="C65">_xlfn.XLOOKUP(A65,TRIM(DatenGalle[Art der Leistung]),DatenGalle[Operationsart],"")</f>
        <v>Galle</v>
      </c>
      <c r="D65" s="7">
        <f>SUMIFS(DatenGalle[Anzahl],DatenGalle[Art der Leistung],$A65,DatenGalle[Kategorie (Labor, Rad, Lunge, EKG)],$B65,DatenGalle[Operationsart],$C65,DatenGalle[KH],"KH 1")</f>
        <v>0</v>
      </c>
      <c r="E65" s="7">
        <f>SUMIFS(DatenGalle[Anzahl],DatenGalle[Art der Leistung],$A65,DatenGalle[Kategorie (Labor, Rad, Lunge, EKG)],$B65,DatenGalle[Operationsart],$C65,DatenGalle[KH],"KH 2")</f>
        <v>1</v>
      </c>
      <c r="F65" s="10"/>
      <c r="I65" s="14" t="s">
        <v>85</v>
      </c>
      <c r="J65" t="s">
        <v>63</v>
      </c>
      <c r="K65" s="7" t="s">
        <v>108</v>
      </c>
      <c r="L65" s="7">
        <v>0</v>
      </c>
      <c r="M65" s="7">
        <v>1</v>
      </c>
      <c r="N65" s="7">
        <f>AVERAGE(GalleVergleich[[#This Row],[Anzahl KH1]],GalleVergleich[[#This Row],[Anzahl KH2]])</f>
        <v>0.5</v>
      </c>
      <c r="O65" s="7">
        <f>ABS(GalleVergleich[[#This Row],[Anzahl KH1]]-GalleVergleich[[#This Row],[Anzahl KH2]])</f>
        <v>1</v>
      </c>
      <c r="P65" s="7">
        <f>IF(MAX(GalleVergleich[[#This Row],[Anzahl KH1]],GalleVergleich[[#This Row],[Anzahl KH2]])=0,0,ABS(GalleVergleich[[#This Row],[Anzahl KH1]]-GalleVergleich[[#This Row],[Anzahl KH2]])/MAX(GalleVergleich[[#This Row],[Anzahl KH1]],GalleVergleich[[#This Row],[Anzahl KH2]]))</f>
        <v>1</v>
      </c>
      <c r="Q65" s="7" t="str">
        <f>IF(MIN(GalleVergleich[[#This Row],[Anzahl KH1]],GalleVergleich[[#This Row],[Anzahl KH2]])=0,"∞",MAX(GalleVergleich[[#This Row],[Anzahl KH1]],GalleVergleich[[#This Row],[Anzahl KH2]])/MIN(GalleVergleich[[#This Row],[Anzahl KH1]],GalleVergleich[[#This Row],[Anzahl KH2]]))</f>
        <v>∞</v>
      </c>
      <c r="R65" s="6">
        <f>ABS(GalleVergleich[[#This Row],[Anzahl KH1]]-GalleVergleich[[#This Row],[Anzahl KH2]])*0.35</f>
        <v>0.35</v>
      </c>
    </row>
    <row r="66" spans="1:18" ht="15" thickBot="1" x14ac:dyDescent="0.35">
      <c r="A66" s="4" t="str">
        <v>RÖ: Brustkorb</v>
      </c>
      <c r="B66" t="str" cm="1">
        <f t="array" ref="B66">_xlfn.XLOOKUP(A66,TRIM(DatenGalle[Art der Leistung]),DatenGalle[Kategorie (Labor, Rad, Lunge, EKG)],"")</f>
        <v>Radiologieleistungen</v>
      </c>
      <c r="C66" s="7" t="str" cm="1">
        <f t="array" ref="C66">_xlfn.XLOOKUP(A66,TRIM(DatenGalle[Art der Leistung]),DatenGalle[Operationsart],"")</f>
        <v>Galle</v>
      </c>
      <c r="D66" s="7">
        <f>SUMIFS(DatenGalle[Anzahl],DatenGalle[Art der Leistung],$A66,DatenGalle[Kategorie (Labor, Rad, Lunge, EKG)],$B66,DatenGalle[Operationsart],$C66,DatenGalle[KH],"KH 1")</f>
        <v>0</v>
      </c>
      <c r="E66" s="7">
        <f>SUMIFS(DatenGalle[Anzahl],DatenGalle[Art der Leistung],$A66,DatenGalle[Kategorie (Labor, Rad, Lunge, EKG)],$B66,DatenGalle[Operationsart],$C66,DatenGalle[KH],"KH 2")</f>
        <v>1</v>
      </c>
      <c r="F66" s="10"/>
      <c r="I66" s="14" t="s">
        <v>120</v>
      </c>
      <c r="J66" t="s">
        <v>63</v>
      </c>
      <c r="K66" s="7" t="s">
        <v>108</v>
      </c>
      <c r="L66" s="7">
        <v>0</v>
      </c>
      <c r="M66" s="7">
        <v>1</v>
      </c>
      <c r="N66" s="7">
        <f>AVERAGE(GalleVergleich[[#This Row],[Anzahl KH1]],GalleVergleich[[#This Row],[Anzahl KH2]])</f>
        <v>0.5</v>
      </c>
      <c r="O66" s="7">
        <f>ABS(GalleVergleich[[#This Row],[Anzahl KH1]]-GalleVergleich[[#This Row],[Anzahl KH2]])</f>
        <v>1</v>
      </c>
      <c r="P66" s="7">
        <f>IF(MAX(GalleVergleich[[#This Row],[Anzahl KH1]],GalleVergleich[[#This Row],[Anzahl KH2]])=0,0,ABS(GalleVergleich[[#This Row],[Anzahl KH1]]-GalleVergleich[[#This Row],[Anzahl KH2]])/MAX(GalleVergleich[[#This Row],[Anzahl KH1]],GalleVergleich[[#This Row],[Anzahl KH2]]))</f>
        <v>1</v>
      </c>
      <c r="Q66" s="7" t="str">
        <f>IF(MIN(GalleVergleich[[#This Row],[Anzahl KH1]],GalleVergleich[[#This Row],[Anzahl KH2]])=0,"∞",MAX(GalleVergleich[[#This Row],[Anzahl KH1]],GalleVergleich[[#This Row],[Anzahl KH2]])/MIN(GalleVergleich[[#This Row],[Anzahl KH1]],GalleVergleich[[#This Row],[Anzahl KH2]]))</f>
        <v>∞</v>
      </c>
      <c r="R66" s="6">
        <f>ABS(GalleVergleich[[#This Row],[Anzahl KH1]]-GalleVergleich[[#This Row],[Anzahl KH2]])*0.35</f>
        <v>0.35</v>
      </c>
    </row>
    <row r="67" spans="1:18" ht="15" thickBot="1" x14ac:dyDescent="0.35">
      <c r="A67" s="4" t="str">
        <v>Albumin-Spiegel im Plasma</v>
      </c>
      <c r="B67" t="str" cm="1">
        <f t="array" ref="B67">_xlfn.XLOOKUP(A67,TRIM(DatenGalle[Art der Leistung]),DatenGalle[Kategorie (Labor, Rad, Lunge, EKG)],"")</f>
        <v>Laborleistungen</v>
      </c>
      <c r="C67" s="7" t="str" cm="1">
        <f t="array" ref="C67">_xlfn.XLOOKUP(A67,TRIM(DatenGalle[Art der Leistung]),DatenGalle[Operationsart],"")</f>
        <v>Galle</v>
      </c>
      <c r="D67" s="7">
        <f>SUMIFS(DatenGalle[Anzahl],DatenGalle[Art der Leistung],$A67,DatenGalle[Kategorie (Labor, Rad, Lunge, EKG)],$B67,DatenGalle[Operationsart],$C67,DatenGalle[KH],"KH 1")</f>
        <v>40</v>
      </c>
      <c r="E67" s="7">
        <f>SUMIFS(DatenGalle[Anzahl],DatenGalle[Art der Leistung],$A67,DatenGalle[Kategorie (Labor, Rad, Lunge, EKG)],$B67,DatenGalle[Operationsart],$C67,DatenGalle[KH],"KH 2")</f>
        <v>0</v>
      </c>
      <c r="F67" s="10"/>
      <c r="I67" s="14" t="s">
        <v>31</v>
      </c>
      <c r="J67" t="s">
        <v>7</v>
      </c>
      <c r="K67" s="7" t="s">
        <v>108</v>
      </c>
      <c r="L67" s="7">
        <v>40</v>
      </c>
      <c r="M67" s="7">
        <v>0</v>
      </c>
      <c r="N67" s="7">
        <f>AVERAGE(GalleVergleich[[#This Row],[Anzahl KH1]],GalleVergleich[[#This Row],[Anzahl KH2]])</f>
        <v>20</v>
      </c>
      <c r="O67" s="7">
        <f>ABS(GalleVergleich[[#This Row],[Anzahl KH1]]-GalleVergleich[[#This Row],[Anzahl KH2]])</f>
        <v>40</v>
      </c>
      <c r="P67" s="7">
        <f>IF(MAX(GalleVergleich[[#This Row],[Anzahl KH1]],GalleVergleich[[#This Row],[Anzahl KH2]])=0,0,ABS(GalleVergleich[[#This Row],[Anzahl KH1]]-GalleVergleich[[#This Row],[Anzahl KH2]])/MAX(GalleVergleich[[#This Row],[Anzahl KH1]],GalleVergleich[[#This Row],[Anzahl KH2]]))</f>
        <v>1</v>
      </c>
      <c r="Q67" s="7" t="str">
        <f>IF(MIN(GalleVergleich[[#This Row],[Anzahl KH1]],GalleVergleich[[#This Row],[Anzahl KH2]])=0,"∞",MAX(GalleVergleich[[#This Row],[Anzahl KH1]],GalleVergleich[[#This Row],[Anzahl KH2]])/MIN(GalleVergleich[[#This Row],[Anzahl KH1]],GalleVergleich[[#This Row],[Anzahl KH2]]))</f>
        <v>∞</v>
      </c>
      <c r="R67" s="6">
        <f>ABS(GalleVergleich[[#This Row],[Anzahl KH1]]-GalleVergleich[[#This Row],[Anzahl KH2]])*0.35</f>
        <v>14</v>
      </c>
    </row>
    <row r="68" spans="1:18" ht="15" thickBot="1" x14ac:dyDescent="0.35">
      <c r="A68" s="4" t="str">
        <v>Harnsäurebestimmung, Harn</v>
      </c>
      <c r="B68" t="str" cm="1">
        <f t="array" ref="B68">_xlfn.XLOOKUP(A68,TRIM(DatenGalle[Art der Leistung]),DatenGalle[Kategorie (Labor, Rad, Lunge, EKG)],"")</f>
        <v>Laborleistungen</v>
      </c>
      <c r="C68" s="7" t="str" cm="1">
        <f t="array" ref="C68">_xlfn.XLOOKUP(A68,TRIM(DatenGalle[Art der Leistung]),DatenGalle[Operationsart],"")</f>
        <v>Galle</v>
      </c>
      <c r="D68" s="7">
        <f>SUMIFS(DatenGalle[Anzahl],DatenGalle[Art der Leistung],$A68,DatenGalle[Kategorie (Labor, Rad, Lunge, EKG)],$B68,DatenGalle[Operationsart],$C68,DatenGalle[KH],"KH 1")</f>
        <v>38</v>
      </c>
      <c r="E68" s="7">
        <f>SUMIFS(DatenGalle[Anzahl],DatenGalle[Art der Leistung],$A68,DatenGalle[Kategorie (Labor, Rad, Lunge, EKG)],$B68,DatenGalle[Operationsart],$C68,DatenGalle[KH],"KH 2")</f>
        <v>0</v>
      </c>
      <c r="F68" s="10"/>
      <c r="I68" s="14" t="s">
        <v>38</v>
      </c>
      <c r="J68" t="s">
        <v>7</v>
      </c>
      <c r="K68" s="7" t="s">
        <v>108</v>
      </c>
      <c r="L68" s="7">
        <v>38</v>
      </c>
      <c r="M68" s="7">
        <v>0</v>
      </c>
      <c r="N68" s="7">
        <f>AVERAGE(GalleVergleich[[#This Row],[Anzahl KH1]],GalleVergleich[[#This Row],[Anzahl KH2]])</f>
        <v>19</v>
      </c>
      <c r="O68" s="7">
        <f>ABS(GalleVergleich[[#This Row],[Anzahl KH1]]-GalleVergleich[[#This Row],[Anzahl KH2]])</f>
        <v>38</v>
      </c>
      <c r="P68" s="7">
        <f>IF(MAX(GalleVergleich[[#This Row],[Anzahl KH1]],GalleVergleich[[#This Row],[Anzahl KH2]])=0,0,ABS(GalleVergleich[[#This Row],[Anzahl KH1]]-GalleVergleich[[#This Row],[Anzahl KH2]])/MAX(GalleVergleich[[#This Row],[Anzahl KH1]],GalleVergleich[[#This Row],[Anzahl KH2]]))</f>
        <v>1</v>
      </c>
      <c r="Q68" s="7" t="str">
        <f>IF(MIN(GalleVergleich[[#This Row],[Anzahl KH1]],GalleVergleich[[#This Row],[Anzahl KH2]])=0,"∞",MAX(GalleVergleich[[#This Row],[Anzahl KH1]],GalleVergleich[[#This Row],[Anzahl KH2]])/MIN(GalleVergleich[[#This Row],[Anzahl KH1]],GalleVergleich[[#This Row],[Anzahl KH2]]))</f>
        <v>∞</v>
      </c>
      <c r="R68" s="6">
        <f>ABS(GalleVergleich[[#This Row],[Anzahl KH1]]-GalleVergleich[[#This Row],[Anzahl KH2]])*0.35</f>
        <v>13.299999999999999</v>
      </c>
    </row>
    <row r="69" spans="1:18" ht="15" thickBot="1" x14ac:dyDescent="0.35">
      <c r="A69" s="4" t="str">
        <v>Fibrinogenbestimmung</v>
      </c>
      <c r="B69" t="str" cm="1">
        <f t="array" ref="B69">_xlfn.XLOOKUP(A69,TRIM(DatenGalle[Art der Leistung]),DatenGalle[Kategorie (Labor, Rad, Lunge, EKG)],"")</f>
        <v>Laborleistungen</v>
      </c>
      <c r="C69" s="7" t="str" cm="1">
        <f t="array" ref="C69">_xlfn.XLOOKUP(A69,TRIM(DatenGalle[Art der Leistung]),DatenGalle[Operationsart],"")</f>
        <v>Galle</v>
      </c>
      <c r="D69" s="7">
        <f>SUMIFS(DatenGalle[Anzahl],DatenGalle[Art der Leistung],$A69,DatenGalle[Kategorie (Labor, Rad, Lunge, EKG)],$B69,DatenGalle[Operationsart],$C69,DatenGalle[KH],"KH 1")</f>
        <v>17</v>
      </c>
      <c r="E69" s="7">
        <f>SUMIFS(DatenGalle[Anzahl],DatenGalle[Art der Leistung],$A69,DatenGalle[Kategorie (Labor, Rad, Lunge, EKG)],$B69,DatenGalle[Operationsart],$C69,DatenGalle[KH],"KH 2")</f>
        <v>0</v>
      </c>
      <c r="F69" s="10"/>
      <c r="I69" s="14" t="s">
        <v>33</v>
      </c>
      <c r="J69" t="s">
        <v>7</v>
      </c>
      <c r="K69" s="7" t="s">
        <v>108</v>
      </c>
      <c r="L69" s="7">
        <v>17</v>
      </c>
      <c r="M69" s="7">
        <v>0</v>
      </c>
      <c r="N69" s="7">
        <f>AVERAGE(GalleVergleich[[#This Row],[Anzahl KH1]],GalleVergleich[[#This Row],[Anzahl KH2]])</f>
        <v>8.5</v>
      </c>
      <c r="O69" s="7">
        <f>ABS(GalleVergleich[[#This Row],[Anzahl KH1]]-GalleVergleich[[#This Row],[Anzahl KH2]])</f>
        <v>17</v>
      </c>
      <c r="P69" s="7">
        <f>IF(MAX(GalleVergleich[[#This Row],[Anzahl KH1]],GalleVergleich[[#This Row],[Anzahl KH2]])=0,0,ABS(GalleVergleich[[#This Row],[Anzahl KH1]]-GalleVergleich[[#This Row],[Anzahl KH2]])/MAX(GalleVergleich[[#This Row],[Anzahl KH1]],GalleVergleich[[#This Row],[Anzahl KH2]]))</f>
        <v>1</v>
      </c>
      <c r="Q69" s="7" t="str">
        <f>IF(MIN(GalleVergleich[[#This Row],[Anzahl KH1]],GalleVergleich[[#This Row],[Anzahl KH2]])=0,"∞",MAX(GalleVergleich[[#This Row],[Anzahl KH1]],GalleVergleich[[#This Row],[Anzahl KH2]])/MIN(GalleVergleich[[#This Row],[Anzahl KH1]],GalleVergleich[[#This Row],[Anzahl KH2]]))</f>
        <v>∞</v>
      </c>
      <c r="R69" s="6">
        <f>ABS(GalleVergleich[[#This Row],[Anzahl KH1]]-GalleVergleich[[#This Row],[Anzahl KH2]])*0.35</f>
        <v>5.9499999999999993</v>
      </c>
    </row>
    <row r="70" spans="1:18" ht="15" thickBot="1" x14ac:dyDescent="0.35">
      <c r="A70" s="4" t="str">
        <v>Harnstatus, Sedimentuntersuchung, zentrifugiert</v>
      </c>
      <c r="B70" t="str" cm="1">
        <f t="array" ref="B70">_xlfn.XLOOKUP(A70,TRIM(DatenGalle[Art der Leistung]),DatenGalle[Kategorie (Labor, Rad, Lunge, EKG)],"")</f>
        <v>Laborleistungen</v>
      </c>
      <c r="C70" s="7" t="str" cm="1">
        <f t="array" ref="C70">_xlfn.XLOOKUP(A70,TRIM(DatenGalle[Art der Leistung]),DatenGalle[Operationsart],"")</f>
        <v>Galle</v>
      </c>
      <c r="D70" s="7">
        <f>SUMIFS(DatenGalle[Anzahl],DatenGalle[Art der Leistung],$A70,DatenGalle[Kategorie (Labor, Rad, Lunge, EKG)],$B70,DatenGalle[Operationsart],$C70,DatenGalle[KH],"KH 1")</f>
        <v>16</v>
      </c>
      <c r="E70" s="7">
        <f>SUMIFS(DatenGalle[Anzahl],DatenGalle[Art der Leistung],$A70,DatenGalle[Kategorie (Labor, Rad, Lunge, EKG)],$B70,DatenGalle[Operationsart],$C70,DatenGalle[KH],"KH 2")</f>
        <v>0</v>
      </c>
      <c r="F70" s="10"/>
      <c r="I70" s="14" t="s">
        <v>46</v>
      </c>
      <c r="J70" t="s">
        <v>7</v>
      </c>
      <c r="K70" s="7" t="s">
        <v>108</v>
      </c>
      <c r="L70" s="7">
        <v>16</v>
      </c>
      <c r="M70" s="7">
        <v>0</v>
      </c>
      <c r="N70" s="7">
        <f>AVERAGE(GalleVergleich[[#This Row],[Anzahl KH1]],GalleVergleich[[#This Row],[Anzahl KH2]])</f>
        <v>8</v>
      </c>
      <c r="O70" s="7">
        <f>ABS(GalleVergleich[[#This Row],[Anzahl KH1]]-GalleVergleich[[#This Row],[Anzahl KH2]])</f>
        <v>16</v>
      </c>
      <c r="P70" s="7">
        <f>IF(MAX(GalleVergleich[[#This Row],[Anzahl KH1]],GalleVergleich[[#This Row],[Anzahl KH2]])=0,0,ABS(GalleVergleich[[#This Row],[Anzahl KH1]]-GalleVergleich[[#This Row],[Anzahl KH2]])/MAX(GalleVergleich[[#This Row],[Anzahl KH1]],GalleVergleich[[#This Row],[Anzahl KH2]]))</f>
        <v>1</v>
      </c>
      <c r="Q70" s="7" t="str">
        <f>IF(MIN(GalleVergleich[[#This Row],[Anzahl KH1]],GalleVergleich[[#This Row],[Anzahl KH2]])=0,"∞",MAX(GalleVergleich[[#This Row],[Anzahl KH1]],GalleVergleich[[#This Row],[Anzahl KH2]])/MIN(GalleVergleich[[#This Row],[Anzahl KH1]],GalleVergleich[[#This Row],[Anzahl KH2]]))</f>
        <v>∞</v>
      </c>
      <c r="R70" s="6">
        <f>ABS(GalleVergleich[[#This Row],[Anzahl KH1]]-GalleVergleich[[#This Row],[Anzahl KH2]])*0.35</f>
        <v>5.6</v>
      </c>
    </row>
    <row r="71" spans="1:18" ht="15" thickBot="1" x14ac:dyDescent="0.35">
      <c r="A71" s="4" t="str">
        <v>MR: Cholangio (MRCP)</v>
      </c>
      <c r="B71" t="str" cm="1">
        <f t="array" ref="B71">_xlfn.XLOOKUP(A71,TRIM(DatenGalle[Art der Leistung]),DatenGalle[Kategorie (Labor, Rad, Lunge, EKG)],"")</f>
        <v>Radiologieleistungen</v>
      </c>
      <c r="C71" s="7" t="str" cm="1">
        <f t="array" ref="C71">_xlfn.XLOOKUP(A71,TRIM(DatenGalle[Art der Leistung]),DatenGalle[Operationsart],"")</f>
        <v>Galle</v>
      </c>
      <c r="D71" s="7">
        <f>SUMIFS(DatenGalle[Anzahl],DatenGalle[Art der Leistung],$A71,DatenGalle[Kategorie (Labor, Rad, Lunge, EKG)],$B71,DatenGalle[Operationsart],$C71,DatenGalle[KH],"KH 1")</f>
        <v>4</v>
      </c>
      <c r="E71" s="7">
        <f>SUMIFS(DatenGalle[Anzahl],DatenGalle[Art der Leistung],$A71,DatenGalle[Kategorie (Labor, Rad, Lunge, EKG)],$B71,DatenGalle[Operationsart],$C71,DatenGalle[KH],"KH 2")</f>
        <v>0</v>
      </c>
      <c r="F71" s="10"/>
      <c r="I71" s="14" t="s">
        <v>121</v>
      </c>
      <c r="J71" t="s">
        <v>63</v>
      </c>
      <c r="K71" s="7" t="s">
        <v>108</v>
      </c>
      <c r="L71" s="7">
        <v>4</v>
      </c>
      <c r="M71" s="7">
        <v>0</v>
      </c>
      <c r="N71" s="7">
        <f>AVERAGE(GalleVergleich[[#This Row],[Anzahl KH1]],GalleVergleich[[#This Row],[Anzahl KH2]])</f>
        <v>2</v>
      </c>
      <c r="O71" s="7">
        <f>ABS(GalleVergleich[[#This Row],[Anzahl KH1]]-GalleVergleich[[#This Row],[Anzahl KH2]])</f>
        <v>4</v>
      </c>
      <c r="P71" s="7">
        <f>IF(MAX(GalleVergleich[[#This Row],[Anzahl KH1]],GalleVergleich[[#This Row],[Anzahl KH2]])=0,0,ABS(GalleVergleich[[#This Row],[Anzahl KH1]]-GalleVergleich[[#This Row],[Anzahl KH2]])/MAX(GalleVergleich[[#This Row],[Anzahl KH1]],GalleVergleich[[#This Row],[Anzahl KH2]]))</f>
        <v>1</v>
      </c>
      <c r="Q71" s="7" t="str">
        <f>IF(MIN(GalleVergleich[[#This Row],[Anzahl KH1]],GalleVergleich[[#This Row],[Anzahl KH2]])=0,"∞",MAX(GalleVergleich[[#This Row],[Anzahl KH1]],GalleVergleich[[#This Row],[Anzahl KH2]])/MIN(GalleVergleich[[#This Row],[Anzahl KH1]],GalleVergleich[[#This Row],[Anzahl KH2]]))</f>
        <v>∞</v>
      </c>
      <c r="R71" s="6">
        <f>ABS(GalleVergleich[[#This Row],[Anzahl KH1]]-GalleVergleich[[#This Row],[Anzahl KH2]])*0.35</f>
        <v>1.4</v>
      </c>
    </row>
    <row r="72" spans="1:18" ht="15" thickBot="1" x14ac:dyDescent="0.35">
      <c r="A72" s="4" t="str">
        <v>MR: Abdomen</v>
      </c>
      <c r="B72" t="str" cm="1">
        <f t="array" ref="B72">_xlfn.XLOOKUP(A72,TRIM(DatenGalle[Art der Leistung]),DatenGalle[Kategorie (Labor, Rad, Lunge, EKG)],"")</f>
        <v>Radiologieleistungen</v>
      </c>
      <c r="C72" s="7" t="str" cm="1">
        <f t="array" ref="C72">_xlfn.XLOOKUP(A72,TRIM(DatenGalle[Art der Leistung]),DatenGalle[Operationsart],"")</f>
        <v>Galle</v>
      </c>
      <c r="D72" s="7">
        <f>SUMIFS(DatenGalle[Anzahl],DatenGalle[Art der Leistung],$A72,DatenGalle[Kategorie (Labor, Rad, Lunge, EKG)],$B72,DatenGalle[Operationsart],$C72,DatenGalle[KH],"KH 1")</f>
        <v>1</v>
      </c>
      <c r="E72" s="7">
        <f>SUMIFS(DatenGalle[Anzahl],DatenGalle[Art der Leistung],$A72,DatenGalle[Kategorie (Labor, Rad, Lunge, EKG)],$B72,DatenGalle[Operationsart],$C72,DatenGalle[KH],"KH 2")</f>
        <v>0</v>
      </c>
      <c r="F72" s="10"/>
      <c r="I72" s="14" t="s">
        <v>122</v>
      </c>
      <c r="J72" t="s">
        <v>63</v>
      </c>
      <c r="K72" s="7" t="s">
        <v>108</v>
      </c>
      <c r="L72" s="7">
        <v>1</v>
      </c>
      <c r="M72" s="7">
        <v>0</v>
      </c>
      <c r="N72" s="7">
        <f>AVERAGE(GalleVergleich[[#This Row],[Anzahl KH1]],GalleVergleich[[#This Row],[Anzahl KH2]])</f>
        <v>0.5</v>
      </c>
      <c r="O72" s="7">
        <f>ABS(GalleVergleich[[#This Row],[Anzahl KH1]]-GalleVergleich[[#This Row],[Anzahl KH2]])</f>
        <v>1</v>
      </c>
      <c r="P72" s="7">
        <f>IF(MAX(GalleVergleich[[#This Row],[Anzahl KH1]],GalleVergleich[[#This Row],[Anzahl KH2]])=0,0,ABS(GalleVergleich[[#This Row],[Anzahl KH1]]-GalleVergleich[[#This Row],[Anzahl KH2]])/MAX(GalleVergleich[[#This Row],[Anzahl KH1]],GalleVergleich[[#This Row],[Anzahl KH2]]))</f>
        <v>1</v>
      </c>
      <c r="Q72" s="7" t="str">
        <f>IF(MIN(GalleVergleich[[#This Row],[Anzahl KH1]],GalleVergleich[[#This Row],[Anzahl KH2]])=0,"∞",MAX(GalleVergleich[[#This Row],[Anzahl KH1]],GalleVergleich[[#This Row],[Anzahl KH2]])/MIN(GalleVergleich[[#This Row],[Anzahl KH1]],GalleVergleich[[#This Row],[Anzahl KH2]]))</f>
        <v>∞</v>
      </c>
      <c r="R72" s="6">
        <f>ABS(GalleVergleich[[#This Row],[Anzahl KH1]]-GalleVergleich[[#This Row],[Anzahl KH2]])*0.35</f>
        <v>0.35</v>
      </c>
    </row>
    <row r="73" spans="1:18" ht="15" thickBot="1" x14ac:dyDescent="0.35">
      <c r="A73" s="4" t="str">
        <v>ERCP: Galle</v>
      </c>
      <c r="B73" t="str" cm="1">
        <f t="array" ref="B73">_xlfn.XLOOKUP(A73,TRIM(DatenGalle[Art der Leistung]),DatenGalle[Kategorie (Labor, Rad, Lunge, EKG)],"")</f>
        <v>Radiologieleistungen</v>
      </c>
      <c r="C73" s="7" t="str" cm="1">
        <f t="array" ref="C73">_xlfn.XLOOKUP(A73,TRIM(DatenGalle[Art der Leistung]),DatenGalle[Operationsart],"")</f>
        <v>Galle</v>
      </c>
      <c r="D73" s="7">
        <f>SUMIFS(DatenGalle[Anzahl],DatenGalle[Art der Leistung],$A73,DatenGalle[Kategorie (Labor, Rad, Lunge, EKG)],$B73,DatenGalle[Operationsart],$C73,DatenGalle[KH],"KH 1")</f>
        <v>1</v>
      </c>
      <c r="E73" s="7">
        <f>SUMIFS(DatenGalle[Anzahl],DatenGalle[Art der Leistung],$A73,DatenGalle[Kategorie (Labor, Rad, Lunge, EKG)],$B73,DatenGalle[Operationsart],$C73,DatenGalle[KH],"KH 2")</f>
        <v>0</v>
      </c>
      <c r="F73" s="10"/>
      <c r="I73" s="14" t="s">
        <v>123</v>
      </c>
      <c r="J73" t="s">
        <v>63</v>
      </c>
      <c r="K73" s="7" t="s">
        <v>108</v>
      </c>
      <c r="L73" s="7">
        <v>1</v>
      </c>
      <c r="M73" s="7">
        <v>0</v>
      </c>
      <c r="N73" s="7">
        <f>AVERAGE(GalleVergleich[[#This Row],[Anzahl KH1]],GalleVergleich[[#This Row],[Anzahl KH2]])</f>
        <v>0.5</v>
      </c>
      <c r="O73" s="7">
        <f>ABS(GalleVergleich[[#This Row],[Anzahl KH1]]-GalleVergleich[[#This Row],[Anzahl KH2]])</f>
        <v>1</v>
      </c>
      <c r="P73" s="7">
        <f>IF(MAX(GalleVergleich[[#This Row],[Anzahl KH1]],GalleVergleich[[#This Row],[Anzahl KH2]])=0,0,ABS(GalleVergleich[[#This Row],[Anzahl KH1]]-GalleVergleich[[#This Row],[Anzahl KH2]])/MAX(GalleVergleich[[#This Row],[Anzahl KH1]],GalleVergleich[[#This Row],[Anzahl KH2]]))</f>
        <v>1</v>
      </c>
      <c r="Q73" s="7" t="str">
        <f>IF(MIN(GalleVergleich[[#This Row],[Anzahl KH1]],GalleVergleich[[#This Row],[Anzahl KH2]])=0,"∞",MAX(GalleVergleich[[#This Row],[Anzahl KH1]],GalleVergleich[[#This Row],[Anzahl KH2]])/MIN(GalleVergleich[[#This Row],[Anzahl KH1]],GalleVergleich[[#This Row],[Anzahl KH2]]))</f>
        <v>∞</v>
      </c>
      <c r="R73" s="6">
        <f>ABS(GalleVergleich[[#This Row],[Anzahl KH1]]-GalleVergleich[[#This Row],[Anzahl KH2]])*0.35</f>
        <v>0.35</v>
      </c>
    </row>
    <row r="74" spans="1:18" ht="15" thickBot="1" x14ac:dyDescent="0.35">
      <c r="A74" s="4" t="str">
        <v>MR:</v>
      </c>
      <c r="B74" t="str" cm="1">
        <f t="array" ref="B74">_xlfn.XLOOKUP(A74,TRIM(DatenGalle[Art der Leistung]),DatenGalle[Kategorie (Labor, Rad, Lunge, EKG)],"")</f>
        <v>Radiologieleistungen</v>
      </c>
      <c r="C74" s="7" t="str" cm="1">
        <f t="array" ref="C74">_xlfn.XLOOKUP(A74,TRIM(DatenGalle[Art der Leistung]),DatenGalle[Operationsart],"")</f>
        <v>Galle</v>
      </c>
      <c r="D74" s="7">
        <f>SUMIFS(DatenGalle[Anzahl],DatenGalle[Art der Leistung],$A74,DatenGalle[Kategorie (Labor, Rad, Lunge, EKG)],$B74,DatenGalle[Operationsart],$C74,DatenGalle[KH],"KH 1")</f>
        <v>1</v>
      </c>
      <c r="E74" s="7">
        <f>SUMIFS(DatenGalle[Anzahl],DatenGalle[Art der Leistung],$A74,DatenGalle[Kategorie (Labor, Rad, Lunge, EKG)],$B74,DatenGalle[Operationsart],$C74,DatenGalle[KH],"KH 2")</f>
        <v>0</v>
      </c>
      <c r="F74" s="10"/>
      <c r="I74" s="14" t="s">
        <v>124</v>
      </c>
      <c r="J74" t="s">
        <v>63</v>
      </c>
      <c r="K74" s="7" t="s">
        <v>108</v>
      </c>
      <c r="L74" s="7">
        <v>1</v>
      </c>
      <c r="M74" s="7">
        <v>0</v>
      </c>
      <c r="N74" s="7">
        <f>AVERAGE(GalleVergleich[[#This Row],[Anzahl KH1]],GalleVergleich[[#This Row],[Anzahl KH2]])</f>
        <v>0.5</v>
      </c>
      <c r="O74" s="7">
        <f>ABS(GalleVergleich[[#This Row],[Anzahl KH1]]-GalleVergleich[[#This Row],[Anzahl KH2]])</f>
        <v>1</v>
      </c>
      <c r="P74" s="7">
        <f>IF(MAX(GalleVergleich[[#This Row],[Anzahl KH1]],GalleVergleich[[#This Row],[Anzahl KH2]])=0,0,ABS(GalleVergleich[[#This Row],[Anzahl KH1]]-GalleVergleich[[#This Row],[Anzahl KH2]])/MAX(GalleVergleich[[#This Row],[Anzahl KH1]],GalleVergleich[[#This Row],[Anzahl KH2]]))</f>
        <v>1</v>
      </c>
      <c r="Q74" s="7" t="str">
        <f>IF(MIN(GalleVergleich[[#This Row],[Anzahl KH1]],GalleVergleich[[#This Row],[Anzahl KH2]])=0,"∞",MAX(GalleVergleich[[#This Row],[Anzahl KH1]],GalleVergleich[[#This Row],[Anzahl KH2]])/MIN(GalleVergleich[[#This Row],[Anzahl KH1]],GalleVergleich[[#This Row],[Anzahl KH2]]))</f>
        <v>∞</v>
      </c>
      <c r="R74" s="6">
        <f>ABS(GalleVergleich[[#This Row],[Anzahl KH1]]-GalleVergleich[[#This Row],[Anzahl KH2]])*0.35</f>
        <v>0.35</v>
      </c>
    </row>
    <row r="75" spans="1:18" ht="15" thickBot="1" x14ac:dyDescent="0.35">
      <c r="A75" s="4" t="str">
        <v>MR: intravenöse Kontrastmittelgabe</v>
      </c>
      <c r="B75" t="str" cm="1">
        <f t="array" ref="B75">_xlfn.XLOOKUP(A75,TRIM(DatenGalle[Art der Leistung]),DatenGalle[Kategorie (Labor, Rad, Lunge, EKG)],"")</f>
        <v>Radiologieleistungen</v>
      </c>
      <c r="C75" s="7" t="str" cm="1">
        <f t="array" ref="C75">_xlfn.XLOOKUP(A75,TRIM(DatenGalle[Art der Leistung]),DatenGalle[Operationsart],"")</f>
        <v>Galle</v>
      </c>
      <c r="D75" s="7">
        <f>SUMIFS(DatenGalle[Anzahl],DatenGalle[Art der Leistung],$A75,DatenGalle[Kategorie (Labor, Rad, Lunge, EKG)],$B75,DatenGalle[Operationsart],$C75,DatenGalle[KH],"KH 1")</f>
        <v>1</v>
      </c>
      <c r="E75" s="7">
        <f>SUMIFS(DatenGalle[Anzahl],DatenGalle[Art der Leistung],$A75,DatenGalle[Kategorie (Labor, Rad, Lunge, EKG)],$B75,DatenGalle[Operationsart],$C75,DatenGalle[KH],"KH 2")</f>
        <v>0</v>
      </c>
      <c r="F75" s="10"/>
      <c r="I75" s="14" t="s">
        <v>90</v>
      </c>
      <c r="J75" t="s">
        <v>63</v>
      </c>
      <c r="K75" s="7" t="s">
        <v>108</v>
      </c>
      <c r="L75" s="7">
        <v>1</v>
      </c>
      <c r="M75" s="7">
        <v>0</v>
      </c>
      <c r="N75" s="7">
        <f>AVERAGE(GalleVergleich[[#This Row],[Anzahl KH1]],GalleVergleich[[#This Row],[Anzahl KH2]])</f>
        <v>0.5</v>
      </c>
      <c r="O75" s="7">
        <f>ABS(GalleVergleich[[#This Row],[Anzahl KH1]]-GalleVergleich[[#This Row],[Anzahl KH2]])</f>
        <v>1</v>
      </c>
      <c r="P75" s="7">
        <f>IF(MAX(GalleVergleich[[#This Row],[Anzahl KH1]],GalleVergleich[[#This Row],[Anzahl KH2]])=0,0,ABS(GalleVergleich[[#This Row],[Anzahl KH1]]-GalleVergleich[[#This Row],[Anzahl KH2]])/MAX(GalleVergleich[[#This Row],[Anzahl KH1]],GalleVergleich[[#This Row],[Anzahl KH2]]))</f>
        <v>1</v>
      </c>
      <c r="Q75" s="7" t="str">
        <f>IF(MIN(GalleVergleich[[#This Row],[Anzahl KH1]],GalleVergleich[[#This Row],[Anzahl KH2]])=0,"∞",MAX(GalleVergleich[[#This Row],[Anzahl KH1]],GalleVergleich[[#This Row],[Anzahl KH2]])/MIN(GalleVergleich[[#This Row],[Anzahl KH1]],GalleVergleich[[#This Row],[Anzahl KH2]]))</f>
        <v>∞</v>
      </c>
      <c r="R75" s="6">
        <f>ABS(GalleVergleich[[#This Row],[Anzahl KH1]]-GalleVergleich[[#This Row],[Anzahl KH2]])*0.35</f>
        <v>0.35</v>
      </c>
    </row>
    <row r="76" spans="1:18" ht="15" thickBot="1" x14ac:dyDescent="0.35">
      <c r="A76" s="4" t="str">
        <v>US: weibliche Genitale</v>
      </c>
      <c r="B76" t="str" cm="1">
        <f t="array" ref="B76">_xlfn.XLOOKUP(A76,TRIM(DatenGalle[Art der Leistung]),DatenGalle[Kategorie (Labor, Rad, Lunge, EKG)],"")</f>
        <v>Radiologieleistungen</v>
      </c>
      <c r="C76" s="7" t="str" cm="1">
        <f t="array" ref="C76">_xlfn.XLOOKUP(A76,TRIM(DatenGalle[Art der Leistung]),DatenGalle[Operationsart],"")</f>
        <v>Galle</v>
      </c>
      <c r="D76" s="7">
        <f>SUMIFS(DatenGalle[Anzahl],DatenGalle[Art der Leistung],$A76,DatenGalle[Kategorie (Labor, Rad, Lunge, EKG)],$B76,DatenGalle[Operationsart],$C76,DatenGalle[KH],"KH 1")</f>
        <v>1</v>
      </c>
      <c r="E76" s="7">
        <f>SUMIFS(DatenGalle[Anzahl],DatenGalle[Art der Leistung],$A76,DatenGalle[Kategorie (Labor, Rad, Lunge, EKG)],$B76,DatenGalle[Operationsart],$C76,DatenGalle[KH],"KH 2")</f>
        <v>0</v>
      </c>
      <c r="F76" s="10"/>
      <c r="I76" s="14" t="s">
        <v>125</v>
      </c>
      <c r="J76" t="s">
        <v>63</v>
      </c>
      <c r="K76" s="7" t="s">
        <v>108</v>
      </c>
      <c r="L76" s="7">
        <v>1</v>
      </c>
      <c r="M76" s="7">
        <v>0</v>
      </c>
      <c r="N76" s="7">
        <f>AVERAGE(GalleVergleich[[#This Row],[Anzahl KH1]],GalleVergleich[[#This Row],[Anzahl KH2]])</f>
        <v>0.5</v>
      </c>
      <c r="O76" s="7">
        <f>ABS(GalleVergleich[[#This Row],[Anzahl KH1]]-GalleVergleich[[#This Row],[Anzahl KH2]])</f>
        <v>1</v>
      </c>
      <c r="P76" s="7">
        <f>IF(MAX(GalleVergleich[[#This Row],[Anzahl KH1]],GalleVergleich[[#This Row],[Anzahl KH2]])=0,0,ABS(GalleVergleich[[#This Row],[Anzahl KH1]]-GalleVergleich[[#This Row],[Anzahl KH2]])/MAX(GalleVergleich[[#This Row],[Anzahl KH1]],GalleVergleich[[#This Row],[Anzahl KH2]]))</f>
        <v>1</v>
      </c>
      <c r="Q76" s="7" t="str">
        <f>IF(MIN(GalleVergleich[[#This Row],[Anzahl KH1]],GalleVergleich[[#This Row],[Anzahl KH2]])=0,"∞",MAX(GalleVergleich[[#This Row],[Anzahl KH1]],GalleVergleich[[#This Row],[Anzahl KH2]])/MIN(GalleVergleich[[#This Row],[Anzahl KH1]],GalleVergleich[[#This Row],[Anzahl KH2]]))</f>
        <v>∞</v>
      </c>
      <c r="R76" s="6">
        <f>ABS(GalleVergleich[[#This Row],[Anzahl KH1]]-GalleVergleich[[#This Row],[Anzahl KH2]])*0.35</f>
        <v>0.35</v>
      </c>
    </row>
    <row r="77" spans="1:18" ht="15" thickBot="1" x14ac:dyDescent="0.35">
      <c r="A77" s="4" t="str">
        <v>US: (transrektal)</v>
      </c>
      <c r="B77" t="str" cm="1">
        <f t="array" ref="B77">_xlfn.XLOOKUP(A77,TRIM(DatenGalle[Art der Leistung]),DatenGalle[Kategorie (Labor, Rad, Lunge, EKG)],"")</f>
        <v>Radiologieleistungen</v>
      </c>
      <c r="C77" s="7" t="str" cm="1">
        <f t="array" ref="C77">_xlfn.XLOOKUP(A77,TRIM(DatenGalle[Art der Leistung]),DatenGalle[Operationsart],"")</f>
        <v>Galle</v>
      </c>
      <c r="D77" s="7">
        <f>SUMIFS(DatenGalle[Anzahl],DatenGalle[Art der Leistung],$A77,DatenGalle[Kategorie (Labor, Rad, Lunge, EKG)],$B77,DatenGalle[Operationsart],$C77,DatenGalle[KH],"KH 1")</f>
        <v>1</v>
      </c>
      <c r="E77" s="7">
        <f>SUMIFS(DatenGalle[Anzahl],DatenGalle[Art der Leistung],$A77,DatenGalle[Kategorie (Labor, Rad, Lunge, EKG)],$B77,DatenGalle[Operationsart],$C77,DatenGalle[KH],"KH 2")</f>
        <v>0</v>
      </c>
      <c r="F77" s="10"/>
      <c r="I77" s="14" t="s">
        <v>94</v>
      </c>
      <c r="J77" t="s">
        <v>63</v>
      </c>
      <c r="K77" s="7" t="s">
        <v>108</v>
      </c>
      <c r="L77" s="7">
        <v>1</v>
      </c>
      <c r="M77" s="7">
        <v>0</v>
      </c>
      <c r="N77" s="7">
        <f>AVERAGE(GalleVergleich[[#This Row],[Anzahl KH1]],GalleVergleich[[#This Row],[Anzahl KH2]])</f>
        <v>0.5</v>
      </c>
      <c r="O77" s="7">
        <f>ABS(GalleVergleich[[#This Row],[Anzahl KH1]]-GalleVergleich[[#This Row],[Anzahl KH2]])</f>
        <v>1</v>
      </c>
      <c r="P77" s="7">
        <f>IF(MAX(GalleVergleich[[#This Row],[Anzahl KH1]],GalleVergleich[[#This Row],[Anzahl KH2]])=0,0,ABS(GalleVergleich[[#This Row],[Anzahl KH1]]-GalleVergleich[[#This Row],[Anzahl KH2]])/MAX(GalleVergleich[[#This Row],[Anzahl KH1]],GalleVergleich[[#This Row],[Anzahl KH2]]))</f>
        <v>1</v>
      </c>
      <c r="Q77" s="7" t="str">
        <f>IF(MIN(GalleVergleich[[#This Row],[Anzahl KH1]],GalleVergleich[[#This Row],[Anzahl KH2]])=0,"∞",MAX(GalleVergleich[[#This Row],[Anzahl KH1]],GalleVergleich[[#This Row],[Anzahl KH2]])/MIN(GalleVergleich[[#This Row],[Anzahl KH1]],GalleVergleich[[#This Row],[Anzahl KH2]]))</f>
        <v>∞</v>
      </c>
      <c r="R77" s="6">
        <f>ABS(GalleVergleich[[#This Row],[Anzahl KH1]]-GalleVergleich[[#This Row],[Anzahl KH2]])*0.35</f>
        <v>0.35</v>
      </c>
    </row>
    <row r="78" spans="1:18" ht="15" thickBot="1" x14ac:dyDescent="0.35">
      <c r="A78" s="4" t="str">
        <v>RÖ: Gallengang</v>
      </c>
      <c r="B78" t="str" cm="1">
        <f t="array" ref="B78">_xlfn.XLOOKUP(A78,TRIM(DatenGalle[Art der Leistung]),DatenGalle[Kategorie (Labor, Rad, Lunge, EKG)],"")</f>
        <v>Radiologieleistungen</v>
      </c>
      <c r="C78" s="7" t="str" cm="1">
        <f t="array" ref="C78">_xlfn.XLOOKUP(A78,TRIM(DatenGalle[Art der Leistung]),DatenGalle[Operationsart],"")</f>
        <v>Galle</v>
      </c>
      <c r="D78" s="7">
        <f>SUMIFS(DatenGalle[Anzahl],DatenGalle[Art der Leistung],$A78,DatenGalle[Kategorie (Labor, Rad, Lunge, EKG)],$B78,DatenGalle[Operationsart],$C78,DatenGalle[KH],"KH 1")</f>
        <v>1</v>
      </c>
      <c r="E78" s="7">
        <f>SUMIFS(DatenGalle[Anzahl],DatenGalle[Art der Leistung],$A78,DatenGalle[Kategorie (Labor, Rad, Lunge, EKG)],$B78,DatenGalle[Operationsart],$C78,DatenGalle[KH],"KH 2")</f>
        <v>0</v>
      </c>
      <c r="F78" s="10"/>
      <c r="I78" s="14" t="s">
        <v>126</v>
      </c>
      <c r="J78" t="s">
        <v>63</v>
      </c>
      <c r="K78" s="7" t="s">
        <v>108</v>
      </c>
      <c r="L78" s="7">
        <v>1</v>
      </c>
      <c r="M78" s="7">
        <v>0</v>
      </c>
      <c r="N78" s="7">
        <f>AVERAGE(GalleVergleich[[#This Row],[Anzahl KH1]],GalleVergleich[[#This Row],[Anzahl KH2]])</f>
        <v>0.5</v>
      </c>
      <c r="O78" s="7">
        <f>ABS(GalleVergleich[[#This Row],[Anzahl KH1]]-GalleVergleich[[#This Row],[Anzahl KH2]])</f>
        <v>1</v>
      </c>
      <c r="P78" s="7">
        <f>IF(MAX(GalleVergleich[[#This Row],[Anzahl KH1]],GalleVergleich[[#This Row],[Anzahl KH2]])=0,0,ABS(GalleVergleich[[#This Row],[Anzahl KH1]]-GalleVergleich[[#This Row],[Anzahl KH2]])/MAX(GalleVergleich[[#This Row],[Anzahl KH1]],GalleVergleich[[#This Row],[Anzahl KH2]]))</f>
        <v>1</v>
      </c>
      <c r="Q78" s="7" t="str">
        <f>IF(MIN(GalleVergleich[[#This Row],[Anzahl KH1]],GalleVergleich[[#This Row],[Anzahl KH2]])=0,"∞",MAX(GalleVergleich[[#This Row],[Anzahl KH1]],GalleVergleich[[#This Row],[Anzahl KH2]])/MIN(GalleVergleich[[#This Row],[Anzahl KH1]],GalleVergleich[[#This Row],[Anzahl KH2]]))</f>
        <v>∞</v>
      </c>
      <c r="R78" s="6">
        <f>ABS(GalleVergleich[[#This Row],[Anzahl KH1]]-GalleVergleich[[#This Row],[Anzahl KH2]])*0.35</f>
        <v>0.35</v>
      </c>
    </row>
    <row r="79" spans="1:18" x14ac:dyDescent="0.3">
      <c r="A79" s="4" t="str">
        <v>Nuklear: Schilddrüse</v>
      </c>
      <c r="B79" t="str" cm="1">
        <f t="array" ref="B79">_xlfn.XLOOKUP(A79,TRIM(DatenGalle[Art der Leistung]),DatenGalle[Kategorie (Labor, Rad, Lunge, EKG)],"")</f>
        <v>Radiologieleistungen</v>
      </c>
      <c r="C79" s="7" t="str" cm="1">
        <f t="array" ref="C79">_xlfn.XLOOKUP(A79,TRIM(DatenGalle[Art der Leistung]),DatenGalle[Operationsart],"")</f>
        <v>Galle</v>
      </c>
      <c r="D79" s="7">
        <f>SUMIFS(DatenGalle[Anzahl],DatenGalle[Art der Leistung],$A79,DatenGalle[Kategorie (Labor, Rad, Lunge, EKG)],$B79,DatenGalle[Operationsart],$C79,DatenGalle[KH],"KH 1")</f>
        <v>1</v>
      </c>
      <c r="E79" s="7">
        <f>SUMIFS(DatenGalle[Anzahl],DatenGalle[Art der Leistung],$A79,DatenGalle[Kategorie (Labor, Rad, Lunge, EKG)],$B79,DatenGalle[Operationsart],$C79,DatenGalle[KH],"KH 2")</f>
        <v>0</v>
      </c>
      <c r="F79" s="10"/>
      <c r="I79" s="14" t="s">
        <v>127</v>
      </c>
      <c r="J79" t="s">
        <v>63</v>
      </c>
      <c r="K79" s="7" t="s">
        <v>108</v>
      </c>
      <c r="L79" s="7">
        <v>1</v>
      </c>
      <c r="M79" s="7">
        <v>0</v>
      </c>
      <c r="N79" s="7">
        <f>AVERAGE(GalleVergleich[[#This Row],[Anzahl KH1]],GalleVergleich[[#This Row],[Anzahl KH2]])</f>
        <v>0.5</v>
      </c>
      <c r="O79" s="7">
        <f>ABS(GalleVergleich[[#This Row],[Anzahl KH1]]-GalleVergleich[[#This Row],[Anzahl KH2]])</f>
        <v>1</v>
      </c>
      <c r="P79" s="7">
        <f>IF(MAX(GalleVergleich[[#This Row],[Anzahl KH1]],GalleVergleich[[#This Row],[Anzahl KH2]])=0,0,ABS(GalleVergleich[[#This Row],[Anzahl KH1]]-GalleVergleich[[#This Row],[Anzahl KH2]])/MAX(GalleVergleich[[#This Row],[Anzahl KH1]],GalleVergleich[[#This Row],[Anzahl KH2]]))</f>
        <v>1</v>
      </c>
      <c r="Q79" s="7" t="str">
        <f>IF(MIN(GalleVergleich[[#This Row],[Anzahl KH1]],GalleVergleich[[#This Row],[Anzahl KH2]])=0,"∞",MAX(GalleVergleich[[#This Row],[Anzahl KH1]],GalleVergleich[[#This Row],[Anzahl KH2]])/MIN(GalleVergleich[[#This Row],[Anzahl KH1]],GalleVergleich[[#This Row],[Anzahl KH2]]))</f>
        <v>∞</v>
      </c>
      <c r="R79" s="6">
        <f>ABS(GalleVergleich[[#This Row],[Anzahl KH1]]-GalleVergleich[[#This Row],[Anzahl KH2]])*0.35</f>
        <v>0.35</v>
      </c>
    </row>
    <row r="80" spans="1:18" x14ac:dyDescent="0.3">
      <c r="A80" s="4"/>
      <c r="B80" t="str" cm="1">
        <f t="array" ref="B80">_xlfn.XLOOKUP(A80,TRIM(DatenGalle[Art der Leistung]),DatenGalle[Kategorie (Labor, Rad, Lunge, EKG)],"")</f>
        <v/>
      </c>
      <c r="C80" s="7" t="str" cm="1">
        <f t="array" ref="C80">_xlfn.XLOOKUP(A80,TRIM(DatenGalle[Art der Leistung]),DatenGalle[Operationsart],"")</f>
        <v/>
      </c>
      <c r="D80" s="7"/>
      <c r="E80" s="7"/>
      <c r="F80" s="10"/>
    </row>
    <row r="81" spans="2:3" x14ac:dyDescent="0.3">
      <c r="B81" t="str" cm="1">
        <f t="array" ref="B81">_xlfn.XLOOKUP(A81,TRIM(DatenGalle[Art der Leistung]),DatenGalle[Kategorie (Labor, Rad, Lunge, EKG)],"")</f>
        <v/>
      </c>
      <c r="C81" t="str" cm="1">
        <f t="array" ref="C81">_xlfn.XLOOKUP(A81,TRIM(DatenGalle[Art der Leistung]),DatenGalle[Operationsart],"")</f>
        <v/>
      </c>
    </row>
    <row r="82" spans="2:3" x14ac:dyDescent="0.3">
      <c r="B82" t="str" cm="1">
        <f t="array" ref="B82">_xlfn.XLOOKUP(A82,TRIM(DatenGalle[Art der Leistung]),DatenGalle[Kategorie (Labor, Rad, Lunge, EKG)],"")</f>
        <v/>
      </c>
      <c r="C82" t="str" cm="1">
        <f t="array" ref="C82">_xlfn.XLOOKUP(A82,TRIM(DatenGalle[Art der Leistung]),DatenGalle[Operationsart],"")</f>
        <v/>
      </c>
    </row>
    <row r="83" spans="2:3" x14ac:dyDescent="0.3">
      <c r="B83" t="str" cm="1">
        <f t="array" ref="B83">_xlfn.XLOOKUP(A83,TRIM(DatenGalle[Art der Leistung]),DatenGalle[Kategorie (Labor, Rad, Lunge, EKG)],"")</f>
        <v/>
      </c>
      <c r="C83" t="str" cm="1">
        <f t="array" ref="C83">_xlfn.XLOOKUP(A83,TRIM(DatenGalle[Art der Leistung]),DatenGalle[Operationsart],"")</f>
        <v/>
      </c>
    </row>
    <row r="84" spans="2:3" x14ac:dyDescent="0.3">
      <c r="B84" t="str" cm="1">
        <f t="array" ref="B84">_xlfn.XLOOKUP(A84,TRIM(DatenGalle[Art der Leistung]),DatenGalle[Kategorie (Labor, Rad, Lunge, EKG)],"")</f>
        <v/>
      </c>
      <c r="C84" t="str" cm="1">
        <f t="array" ref="C84">_xlfn.XLOOKUP(A84,TRIM(DatenGalle[Art der Leistung]),DatenGalle[Operationsart],"")</f>
        <v/>
      </c>
    </row>
    <row r="85" spans="2:3" x14ac:dyDescent="0.3">
      <c r="B85" t="str" cm="1">
        <f t="array" ref="B85">_xlfn.XLOOKUP(A85,TRIM(DatenGalle[Art der Leistung]),DatenGalle[Kategorie (Labor, Rad, Lunge, EKG)],"")</f>
        <v/>
      </c>
      <c r="C85" t="str" cm="1">
        <f t="array" ref="C85">_xlfn.XLOOKUP(A85,TRIM(DatenGalle[Art der Leistung]),DatenGalle[Operationsart],"")</f>
        <v/>
      </c>
    </row>
    <row r="86" spans="2:3" x14ac:dyDescent="0.3">
      <c r="B86" t="str" cm="1">
        <f t="array" ref="B86">_xlfn.XLOOKUP(A86,TRIM(DatenGalle[Art der Leistung]),DatenGalle[Kategorie (Labor, Rad, Lunge, EKG)],"")</f>
        <v/>
      </c>
      <c r="C86" t="str" cm="1">
        <f t="array" ref="C86">_xlfn.XLOOKUP(A86,TRIM(DatenGalle[Art der Leistung]),DatenGalle[Operationsart],"")</f>
        <v/>
      </c>
    </row>
    <row r="87" spans="2:3" x14ac:dyDescent="0.3">
      <c r="B87" t="str" cm="1">
        <f t="array" ref="B87">_xlfn.XLOOKUP(A87,TRIM(DatenGalle[Art der Leistung]),DatenGalle[Kategorie (Labor, Rad, Lunge, EKG)],"")</f>
        <v/>
      </c>
      <c r="C87" t="str" cm="1">
        <f t="array" ref="C87">_xlfn.XLOOKUP(A87,TRIM(DatenGalle[Art der Leistung]),DatenGalle[Operationsart],"")</f>
        <v/>
      </c>
    </row>
    <row r="88" spans="2:3" x14ac:dyDescent="0.3">
      <c r="B88" t="str" cm="1">
        <f t="array" ref="B88">_xlfn.XLOOKUP(A88,TRIM(DatenGalle[Art der Leistung]),DatenGalle[Kategorie (Labor, Rad, Lunge, EKG)],"")</f>
        <v/>
      </c>
      <c r="C88" t="str" cm="1">
        <f t="array" ref="C88">_xlfn.XLOOKUP(A88,TRIM(DatenGalle[Art der Leistung]),DatenGalle[Operationsart],"")</f>
        <v/>
      </c>
    </row>
    <row r="142" spans="9:9" ht="23.4" x14ac:dyDescent="0.45">
      <c r="I142" s="19"/>
    </row>
  </sheetData>
  <pageMargins left="0.7" right="0.7" top="0.78740157499999996" bottom="0.78740157499999996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7A34B-2A46-4079-8A1B-C99A28FEECBE}">
  <dimension ref="A1:F252"/>
  <sheetViews>
    <sheetView zoomScaleNormal="100" workbookViewId="0">
      <selection activeCell="H9" sqref="H9"/>
    </sheetView>
  </sheetViews>
  <sheetFormatPr baseColWidth="10" defaultColWidth="11.44140625" defaultRowHeight="14.4" x14ac:dyDescent="0.3"/>
  <cols>
    <col min="1" max="1" width="23.88671875" customWidth="1"/>
    <col min="2" max="2" width="9.33203125" bestFit="1" customWidth="1"/>
    <col min="3" max="3" width="23.109375" customWidth="1"/>
    <col min="6" max="6" width="26.88671875" customWidth="1"/>
  </cols>
  <sheetData>
    <row r="1" spans="1:6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128</v>
      </c>
    </row>
    <row r="2" spans="1:6" x14ac:dyDescent="0.3">
      <c r="A2" s="2" t="s">
        <v>6</v>
      </c>
      <c r="B2">
        <v>220</v>
      </c>
      <c r="C2" t="s">
        <v>7</v>
      </c>
      <c r="D2" t="s">
        <v>8</v>
      </c>
      <c r="E2" t="s">
        <v>9</v>
      </c>
      <c r="F2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3" spans="1:6" x14ac:dyDescent="0.3">
      <c r="A3" s="2" t="s">
        <v>10</v>
      </c>
      <c r="B3">
        <v>220</v>
      </c>
      <c r="C3" t="s">
        <v>7</v>
      </c>
      <c r="D3" t="s">
        <v>8</v>
      </c>
      <c r="E3" t="s">
        <v>9</v>
      </c>
      <c r="F3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4" spans="1:6" x14ac:dyDescent="0.3">
      <c r="A4" s="2" t="s">
        <v>11</v>
      </c>
      <c r="B4">
        <v>175</v>
      </c>
      <c r="C4" t="s">
        <v>7</v>
      </c>
      <c r="D4" t="s">
        <v>8</v>
      </c>
      <c r="E4" t="s">
        <v>9</v>
      </c>
      <c r="F4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5" spans="1:6" x14ac:dyDescent="0.3">
      <c r="A5" s="2" t="s">
        <v>12</v>
      </c>
      <c r="B5">
        <v>155</v>
      </c>
      <c r="C5" t="s">
        <v>7</v>
      </c>
      <c r="D5" t="s">
        <v>8</v>
      </c>
      <c r="E5" t="s">
        <v>9</v>
      </c>
      <c r="F5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6" spans="1:6" x14ac:dyDescent="0.3">
      <c r="A6" s="2" t="s">
        <v>13</v>
      </c>
      <c r="B6">
        <v>144</v>
      </c>
      <c r="C6" t="s">
        <v>7</v>
      </c>
      <c r="D6" t="s">
        <v>8</v>
      </c>
      <c r="E6" t="s">
        <v>9</v>
      </c>
      <c r="F6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7" spans="1:6" x14ac:dyDescent="0.3">
      <c r="A7" s="2" t="s">
        <v>14</v>
      </c>
      <c r="B7">
        <v>114</v>
      </c>
      <c r="C7" t="s">
        <v>7</v>
      </c>
      <c r="D7" t="s">
        <v>8</v>
      </c>
      <c r="E7" t="s">
        <v>9</v>
      </c>
      <c r="F7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8" spans="1:6" x14ac:dyDescent="0.3">
      <c r="A8" s="2" t="s">
        <v>15</v>
      </c>
      <c r="B8">
        <v>114</v>
      </c>
      <c r="C8" t="s">
        <v>7</v>
      </c>
      <c r="D8" t="s">
        <v>8</v>
      </c>
      <c r="E8" t="s">
        <v>9</v>
      </c>
      <c r="F8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9" spans="1:6" x14ac:dyDescent="0.3">
      <c r="A9" s="2" t="s">
        <v>16</v>
      </c>
      <c r="B9">
        <v>111</v>
      </c>
      <c r="C9" t="s">
        <v>7</v>
      </c>
      <c r="D9" t="s">
        <v>8</v>
      </c>
      <c r="E9" t="s">
        <v>9</v>
      </c>
      <c r="F9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10" spans="1:6" x14ac:dyDescent="0.3">
      <c r="A10" s="2" t="s">
        <v>17</v>
      </c>
      <c r="B10">
        <v>111</v>
      </c>
      <c r="C10" t="s">
        <v>7</v>
      </c>
      <c r="D10" t="s">
        <v>8</v>
      </c>
      <c r="E10" t="s">
        <v>9</v>
      </c>
      <c r="F10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11" spans="1:6" x14ac:dyDescent="0.3">
      <c r="A11" s="2" t="s">
        <v>18</v>
      </c>
      <c r="B11">
        <v>111</v>
      </c>
      <c r="C11" t="s">
        <v>7</v>
      </c>
      <c r="D11" t="s">
        <v>8</v>
      </c>
      <c r="E11" t="s">
        <v>9</v>
      </c>
      <c r="F11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12" spans="1:6" x14ac:dyDescent="0.3">
      <c r="A12" s="2" t="s">
        <v>19</v>
      </c>
      <c r="B12">
        <v>102</v>
      </c>
      <c r="C12" t="s">
        <v>7</v>
      </c>
      <c r="D12" t="s">
        <v>8</v>
      </c>
      <c r="E12" t="s">
        <v>9</v>
      </c>
      <c r="F12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13" spans="1:6" x14ac:dyDescent="0.3">
      <c r="A13" s="2" t="s">
        <v>20</v>
      </c>
      <c r="B13">
        <v>97</v>
      </c>
      <c r="C13" t="s">
        <v>7</v>
      </c>
      <c r="D13" t="s">
        <v>8</v>
      </c>
      <c r="E13" t="s">
        <v>9</v>
      </c>
      <c r="F13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14" spans="1:6" x14ac:dyDescent="0.3">
      <c r="A14" s="2" t="s">
        <v>21</v>
      </c>
      <c r="B14">
        <v>97</v>
      </c>
      <c r="C14" t="s">
        <v>7</v>
      </c>
      <c r="D14" t="s">
        <v>8</v>
      </c>
      <c r="E14" t="s">
        <v>9</v>
      </c>
      <c r="F14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15" spans="1:6" x14ac:dyDescent="0.3">
      <c r="A15" s="2" t="s">
        <v>22</v>
      </c>
      <c r="B15">
        <v>97</v>
      </c>
      <c r="C15" t="s">
        <v>7</v>
      </c>
      <c r="D15" t="s">
        <v>8</v>
      </c>
      <c r="E15" t="s">
        <v>9</v>
      </c>
      <c r="F15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16" spans="1:6" x14ac:dyDescent="0.3">
      <c r="A16" s="2" t="s">
        <v>23</v>
      </c>
      <c r="B16">
        <v>97</v>
      </c>
      <c r="C16" t="s">
        <v>7</v>
      </c>
      <c r="D16" t="s">
        <v>8</v>
      </c>
      <c r="E16" t="s">
        <v>9</v>
      </c>
      <c r="F16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17" spans="1:6" x14ac:dyDescent="0.3">
      <c r="A17" s="2" t="s">
        <v>24</v>
      </c>
      <c r="B17">
        <v>94</v>
      </c>
      <c r="C17" t="s">
        <v>7</v>
      </c>
      <c r="D17" t="s">
        <v>8</v>
      </c>
      <c r="E17" t="s">
        <v>9</v>
      </c>
      <c r="F17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18" spans="1:6" x14ac:dyDescent="0.3">
      <c r="A18" s="2" t="s">
        <v>25</v>
      </c>
      <c r="B18">
        <v>94</v>
      </c>
      <c r="C18" t="s">
        <v>7</v>
      </c>
      <c r="D18" t="s">
        <v>8</v>
      </c>
      <c r="E18" t="s">
        <v>9</v>
      </c>
      <c r="F18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19" spans="1:6" x14ac:dyDescent="0.3">
      <c r="A19" s="2" t="s">
        <v>26</v>
      </c>
      <c r="B19">
        <v>73</v>
      </c>
      <c r="C19" t="s">
        <v>7</v>
      </c>
      <c r="D19" t="s">
        <v>8</v>
      </c>
      <c r="E19" t="s">
        <v>9</v>
      </c>
      <c r="F19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20" spans="1:6" x14ac:dyDescent="0.3">
      <c r="A20" s="2" t="s">
        <v>27</v>
      </c>
      <c r="B20">
        <v>66</v>
      </c>
      <c r="C20" t="s">
        <v>7</v>
      </c>
      <c r="D20" t="s">
        <v>8</v>
      </c>
      <c r="E20" t="s">
        <v>9</v>
      </c>
      <c r="F20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21" spans="1:6" x14ac:dyDescent="0.3">
      <c r="A21" s="2" t="s">
        <v>28</v>
      </c>
      <c r="B21">
        <v>65</v>
      </c>
      <c r="C21" t="s">
        <v>7</v>
      </c>
      <c r="D21" t="s">
        <v>8</v>
      </c>
      <c r="E21" t="s">
        <v>9</v>
      </c>
      <c r="F21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22" spans="1:6" x14ac:dyDescent="0.3">
      <c r="A22" s="2" t="s">
        <v>29</v>
      </c>
      <c r="B22">
        <v>57</v>
      </c>
      <c r="C22" t="s">
        <v>7</v>
      </c>
      <c r="D22" t="s">
        <v>8</v>
      </c>
      <c r="E22" t="s">
        <v>9</v>
      </c>
      <c r="F22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23" spans="1:6" x14ac:dyDescent="0.3">
      <c r="A23" s="2" t="s">
        <v>30</v>
      </c>
      <c r="B23">
        <v>57</v>
      </c>
      <c r="C23" t="s">
        <v>7</v>
      </c>
      <c r="D23" t="s">
        <v>8</v>
      </c>
      <c r="E23" t="s">
        <v>9</v>
      </c>
      <c r="F23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0</v>
      </c>
    </row>
    <row r="24" spans="1:6" x14ac:dyDescent="0.3">
      <c r="A24" s="2" t="s">
        <v>31</v>
      </c>
      <c r="B24">
        <v>57</v>
      </c>
      <c r="C24" t="s">
        <v>7</v>
      </c>
      <c r="D24" t="s">
        <v>8</v>
      </c>
      <c r="E24" t="s">
        <v>9</v>
      </c>
      <c r="F24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0</v>
      </c>
    </row>
    <row r="25" spans="1:6" x14ac:dyDescent="0.3">
      <c r="A25" s="2" t="s">
        <v>32</v>
      </c>
      <c r="B25">
        <v>57</v>
      </c>
      <c r="C25" t="s">
        <v>7</v>
      </c>
      <c r="D25" t="s">
        <v>8</v>
      </c>
      <c r="E25" t="s">
        <v>9</v>
      </c>
      <c r="F25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0</v>
      </c>
    </row>
    <row r="26" spans="1:6" x14ac:dyDescent="0.3">
      <c r="A26" s="2" t="s">
        <v>33</v>
      </c>
      <c r="B26">
        <v>57</v>
      </c>
      <c r="C26" t="s">
        <v>7</v>
      </c>
      <c r="D26" t="s">
        <v>8</v>
      </c>
      <c r="E26" t="s">
        <v>9</v>
      </c>
      <c r="F26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0</v>
      </c>
    </row>
    <row r="27" spans="1:6" x14ac:dyDescent="0.3">
      <c r="A27" s="2" t="s">
        <v>34</v>
      </c>
      <c r="B27">
        <v>50</v>
      </c>
      <c r="C27" t="s">
        <v>7</v>
      </c>
      <c r="D27" t="s">
        <v>8</v>
      </c>
      <c r="E27" t="s">
        <v>9</v>
      </c>
      <c r="F27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28" spans="1:6" x14ac:dyDescent="0.3">
      <c r="A28" s="2" t="s">
        <v>35</v>
      </c>
      <c r="B28">
        <v>48</v>
      </c>
      <c r="C28" t="s">
        <v>7</v>
      </c>
      <c r="D28" t="s">
        <v>8</v>
      </c>
      <c r="E28" t="s">
        <v>9</v>
      </c>
      <c r="F28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29" spans="1:6" x14ac:dyDescent="0.3">
      <c r="A29" s="2" t="s">
        <v>36</v>
      </c>
      <c r="B29">
        <v>29</v>
      </c>
      <c r="C29" t="s">
        <v>7</v>
      </c>
      <c r="D29" t="s">
        <v>8</v>
      </c>
      <c r="E29" t="s">
        <v>9</v>
      </c>
      <c r="F29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30" spans="1:6" x14ac:dyDescent="0.3">
      <c r="A30" s="2" t="s">
        <v>37</v>
      </c>
      <c r="B30">
        <v>20</v>
      </c>
      <c r="C30" t="s">
        <v>7</v>
      </c>
      <c r="D30" t="s">
        <v>8</v>
      </c>
      <c r="E30" t="s">
        <v>9</v>
      </c>
      <c r="F30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31" spans="1:6" x14ac:dyDescent="0.3">
      <c r="A31" s="2" t="s">
        <v>38</v>
      </c>
      <c r="B31">
        <v>20</v>
      </c>
      <c r="C31" t="s">
        <v>7</v>
      </c>
      <c r="D31" t="s">
        <v>8</v>
      </c>
      <c r="E31" t="s">
        <v>9</v>
      </c>
      <c r="F31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32" spans="1:6" x14ac:dyDescent="0.3">
      <c r="A32" s="2" t="s">
        <v>39</v>
      </c>
      <c r="B32">
        <v>11</v>
      </c>
      <c r="C32" t="s">
        <v>7</v>
      </c>
      <c r="D32" t="s">
        <v>8</v>
      </c>
      <c r="E32" t="s">
        <v>9</v>
      </c>
      <c r="F32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0</v>
      </c>
    </row>
    <row r="33" spans="1:6" x14ac:dyDescent="0.3">
      <c r="A33" s="2" t="s">
        <v>40</v>
      </c>
      <c r="B33">
        <v>10</v>
      </c>
      <c r="C33" t="s">
        <v>7</v>
      </c>
      <c r="D33" t="s">
        <v>8</v>
      </c>
      <c r="E33" t="s">
        <v>9</v>
      </c>
      <c r="F33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0</v>
      </c>
    </row>
    <row r="34" spans="1:6" x14ac:dyDescent="0.3">
      <c r="A34" s="2" t="s">
        <v>41</v>
      </c>
      <c r="B34">
        <v>10</v>
      </c>
      <c r="C34" t="s">
        <v>7</v>
      </c>
      <c r="D34" t="s">
        <v>8</v>
      </c>
      <c r="E34" t="s">
        <v>9</v>
      </c>
      <c r="F34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35" spans="1:6" x14ac:dyDescent="0.3">
      <c r="A35" s="2" t="s">
        <v>42</v>
      </c>
      <c r="B35">
        <v>10</v>
      </c>
      <c r="C35" t="s">
        <v>7</v>
      </c>
      <c r="D35" t="s">
        <v>8</v>
      </c>
      <c r="E35" t="s">
        <v>9</v>
      </c>
      <c r="F35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0</v>
      </c>
    </row>
    <row r="36" spans="1:6" x14ac:dyDescent="0.3">
      <c r="A36" s="2" t="s">
        <v>43</v>
      </c>
      <c r="B36">
        <v>10</v>
      </c>
      <c r="C36" t="s">
        <v>7</v>
      </c>
      <c r="D36" t="s">
        <v>8</v>
      </c>
      <c r="E36" t="s">
        <v>9</v>
      </c>
      <c r="F36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0</v>
      </c>
    </row>
    <row r="37" spans="1:6" x14ac:dyDescent="0.3">
      <c r="A37" s="2" t="s">
        <v>44</v>
      </c>
      <c r="B37">
        <v>9</v>
      </c>
      <c r="C37" t="s">
        <v>7</v>
      </c>
      <c r="D37" t="s">
        <v>8</v>
      </c>
      <c r="E37" t="s">
        <v>9</v>
      </c>
      <c r="F37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0</v>
      </c>
    </row>
    <row r="38" spans="1:6" x14ac:dyDescent="0.3">
      <c r="A38" s="2" t="s">
        <v>45</v>
      </c>
      <c r="B38">
        <v>9</v>
      </c>
      <c r="C38" t="s">
        <v>7</v>
      </c>
      <c r="D38" t="s">
        <v>8</v>
      </c>
      <c r="E38" t="s">
        <v>9</v>
      </c>
      <c r="F38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0</v>
      </c>
    </row>
    <row r="39" spans="1:6" x14ac:dyDescent="0.3">
      <c r="A39" s="2" t="s">
        <v>46</v>
      </c>
      <c r="B39">
        <v>9</v>
      </c>
      <c r="C39" t="s">
        <v>7</v>
      </c>
      <c r="D39" t="s">
        <v>8</v>
      </c>
      <c r="E39" t="s">
        <v>9</v>
      </c>
      <c r="F39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0</v>
      </c>
    </row>
    <row r="40" spans="1:6" x14ac:dyDescent="0.3">
      <c r="A40" s="2" t="s">
        <v>47</v>
      </c>
      <c r="B40">
        <v>9</v>
      </c>
      <c r="C40" t="s">
        <v>7</v>
      </c>
      <c r="D40" t="s">
        <v>8</v>
      </c>
      <c r="E40" t="s">
        <v>9</v>
      </c>
      <c r="F40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0</v>
      </c>
    </row>
    <row r="41" spans="1:6" x14ac:dyDescent="0.3">
      <c r="A41" s="2" t="s">
        <v>48</v>
      </c>
      <c r="B41">
        <v>9</v>
      </c>
      <c r="C41" t="s">
        <v>7</v>
      </c>
      <c r="D41" t="s">
        <v>8</v>
      </c>
      <c r="E41" t="s">
        <v>9</v>
      </c>
      <c r="F41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0</v>
      </c>
    </row>
    <row r="42" spans="1:6" x14ac:dyDescent="0.3">
      <c r="A42" s="2" t="s">
        <v>10</v>
      </c>
      <c r="B42">
        <v>98</v>
      </c>
      <c r="C42" t="s">
        <v>7</v>
      </c>
      <c r="D42" t="s">
        <v>8</v>
      </c>
      <c r="E42" t="s">
        <v>49</v>
      </c>
      <c r="F42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43" spans="1:6" x14ac:dyDescent="0.3">
      <c r="A43" s="2" t="s">
        <v>6</v>
      </c>
      <c r="B43">
        <v>98</v>
      </c>
      <c r="C43" t="s">
        <v>7</v>
      </c>
      <c r="D43" t="s">
        <v>8</v>
      </c>
      <c r="E43" t="s">
        <v>49</v>
      </c>
      <c r="F43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44" spans="1:6" x14ac:dyDescent="0.3">
      <c r="A44" s="2" t="s">
        <v>34</v>
      </c>
      <c r="B44">
        <v>98</v>
      </c>
      <c r="C44" t="s">
        <v>7</v>
      </c>
      <c r="D44" t="s">
        <v>8</v>
      </c>
      <c r="E44" t="s">
        <v>49</v>
      </c>
      <c r="F44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45" spans="1:6" x14ac:dyDescent="0.3">
      <c r="A45" s="2" t="s">
        <v>11</v>
      </c>
      <c r="B45">
        <v>97</v>
      </c>
      <c r="C45" t="s">
        <v>7</v>
      </c>
      <c r="D45" t="s">
        <v>8</v>
      </c>
      <c r="E45" t="s">
        <v>49</v>
      </c>
      <c r="F45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46" spans="1:6" x14ac:dyDescent="0.3">
      <c r="A46" s="2" t="s">
        <v>36</v>
      </c>
      <c r="B46">
        <v>95</v>
      </c>
      <c r="C46" t="s">
        <v>7</v>
      </c>
      <c r="D46" t="s">
        <v>8</v>
      </c>
      <c r="E46" t="s">
        <v>49</v>
      </c>
      <c r="F46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47" spans="1:6" x14ac:dyDescent="0.3">
      <c r="A47" s="2" t="s">
        <v>13</v>
      </c>
      <c r="B47">
        <v>95</v>
      </c>
      <c r="C47" t="s">
        <v>7</v>
      </c>
      <c r="D47" t="s">
        <v>8</v>
      </c>
      <c r="E47" t="s">
        <v>49</v>
      </c>
      <c r="F47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48" spans="1:6" x14ac:dyDescent="0.3">
      <c r="A48" s="2" t="s">
        <v>26</v>
      </c>
      <c r="B48">
        <v>93</v>
      </c>
      <c r="C48" t="s">
        <v>7</v>
      </c>
      <c r="D48" t="s">
        <v>8</v>
      </c>
      <c r="E48" t="s">
        <v>49</v>
      </c>
      <c r="F48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49" spans="1:6" x14ac:dyDescent="0.3">
      <c r="A49" s="2" t="s">
        <v>29</v>
      </c>
      <c r="B49">
        <v>88</v>
      </c>
      <c r="C49" t="s">
        <v>7</v>
      </c>
      <c r="D49" t="s">
        <v>8</v>
      </c>
      <c r="E49" t="s">
        <v>49</v>
      </c>
      <c r="F49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50" spans="1:6" x14ac:dyDescent="0.3">
      <c r="A50" s="2" t="s">
        <v>19</v>
      </c>
      <c r="B50">
        <v>74</v>
      </c>
      <c r="C50" t="s">
        <v>7</v>
      </c>
      <c r="D50" t="s">
        <v>8</v>
      </c>
      <c r="E50" t="s">
        <v>49</v>
      </c>
      <c r="F50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51" spans="1:6" x14ac:dyDescent="0.3">
      <c r="A51" s="2" t="s">
        <v>17</v>
      </c>
      <c r="B51">
        <v>73</v>
      </c>
      <c r="C51" t="s">
        <v>7</v>
      </c>
      <c r="D51" t="s">
        <v>8</v>
      </c>
      <c r="E51" t="s">
        <v>49</v>
      </c>
      <c r="F51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52" spans="1:6" x14ac:dyDescent="0.3">
      <c r="A52" s="2" t="s">
        <v>18</v>
      </c>
      <c r="B52">
        <v>73</v>
      </c>
      <c r="C52" t="s">
        <v>7</v>
      </c>
      <c r="D52" t="s">
        <v>8</v>
      </c>
      <c r="E52" t="s">
        <v>49</v>
      </c>
      <c r="F52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53" spans="1:6" x14ac:dyDescent="0.3">
      <c r="A53" s="2" t="s">
        <v>16</v>
      </c>
      <c r="B53">
        <v>73</v>
      </c>
      <c r="C53" t="s">
        <v>7</v>
      </c>
      <c r="D53" t="s">
        <v>8</v>
      </c>
      <c r="E53" t="s">
        <v>49</v>
      </c>
      <c r="F53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54" spans="1:6" x14ac:dyDescent="0.3">
      <c r="A54" s="2" t="s">
        <v>12</v>
      </c>
      <c r="B54">
        <v>72</v>
      </c>
      <c r="C54" t="s">
        <v>7</v>
      </c>
      <c r="D54" t="s">
        <v>8</v>
      </c>
      <c r="E54" t="s">
        <v>49</v>
      </c>
      <c r="F54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55" spans="1:6" x14ac:dyDescent="0.3">
      <c r="A55" s="2" t="s">
        <v>25</v>
      </c>
      <c r="B55">
        <v>72</v>
      </c>
      <c r="C55" t="s">
        <v>7</v>
      </c>
      <c r="D55" t="s">
        <v>8</v>
      </c>
      <c r="E55" t="s">
        <v>49</v>
      </c>
      <c r="F55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56" spans="1:6" x14ac:dyDescent="0.3">
      <c r="A56" s="2" t="s">
        <v>15</v>
      </c>
      <c r="B56">
        <v>72</v>
      </c>
      <c r="C56" t="s">
        <v>7</v>
      </c>
      <c r="D56" t="s">
        <v>8</v>
      </c>
      <c r="E56" t="s">
        <v>49</v>
      </c>
      <c r="F56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57" spans="1:6" x14ac:dyDescent="0.3">
      <c r="A57" s="2" t="s">
        <v>14</v>
      </c>
      <c r="B57">
        <v>72</v>
      </c>
      <c r="C57" t="s">
        <v>7</v>
      </c>
      <c r="D57" t="s">
        <v>8</v>
      </c>
      <c r="E57" t="s">
        <v>49</v>
      </c>
      <c r="F57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58" spans="1:6" x14ac:dyDescent="0.3">
      <c r="A58" s="2" t="s">
        <v>24</v>
      </c>
      <c r="B58">
        <v>72</v>
      </c>
      <c r="C58" t="s">
        <v>7</v>
      </c>
      <c r="D58" t="s">
        <v>8</v>
      </c>
      <c r="E58" t="s">
        <v>49</v>
      </c>
      <c r="F58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59" spans="1:6" x14ac:dyDescent="0.3">
      <c r="A59" s="2" t="s">
        <v>35</v>
      </c>
      <c r="B59">
        <v>72</v>
      </c>
      <c r="C59" t="s">
        <v>7</v>
      </c>
      <c r="D59" t="s">
        <v>8</v>
      </c>
      <c r="E59" t="s">
        <v>49</v>
      </c>
      <c r="F59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60" spans="1:6" x14ac:dyDescent="0.3">
      <c r="A60" s="2" t="s">
        <v>50</v>
      </c>
      <c r="B60">
        <v>70</v>
      </c>
      <c r="C60" t="s">
        <v>7</v>
      </c>
      <c r="D60" t="s">
        <v>8</v>
      </c>
      <c r="E60" t="s">
        <v>49</v>
      </c>
      <c r="F60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0</v>
      </c>
    </row>
    <row r="61" spans="1:6" x14ac:dyDescent="0.3">
      <c r="A61" s="2" t="s">
        <v>21</v>
      </c>
      <c r="B61">
        <v>70</v>
      </c>
      <c r="C61" t="s">
        <v>7</v>
      </c>
      <c r="D61" t="s">
        <v>8</v>
      </c>
      <c r="E61" t="s">
        <v>49</v>
      </c>
      <c r="F61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62" spans="1:6" x14ac:dyDescent="0.3">
      <c r="A62" s="2" t="s">
        <v>22</v>
      </c>
      <c r="B62">
        <v>70</v>
      </c>
      <c r="C62" t="s">
        <v>7</v>
      </c>
      <c r="D62" t="s">
        <v>8</v>
      </c>
      <c r="E62" t="s">
        <v>49</v>
      </c>
      <c r="F62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63" spans="1:6" x14ac:dyDescent="0.3">
      <c r="A63" s="2" t="s">
        <v>23</v>
      </c>
      <c r="B63">
        <v>70</v>
      </c>
      <c r="C63" t="s">
        <v>7</v>
      </c>
      <c r="D63" t="s">
        <v>8</v>
      </c>
      <c r="E63" t="s">
        <v>49</v>
      </c>
      <c r="F63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64" spans="1:6" x14ac:dyDescent="0.3">
      <c r="A64" s="2" t="s">
        <v>20</v>
      </c>
      <c r="B64">
        <v>70</v>
      </c>
      <c r="C64" t="s">
        <v>7</v>
      </c>
      <c r="D64" t="s">
        <v>8</v>
      </c>
      <c r="E64" t="s">
        <v>49</v>
      </c>
      <c r="F64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65" spans="1:6" x14ac:dyDescent="0.3">
      <c r="A65" s="2" t="s">
        <v>41</v>
      </c>
      <c r="B65">
        <v>67</v>
      </c>
      <c r="C65" t="s">
        <v>7</v>
      </c>
      <c r="D65" t="s">
        <v>8</v>
      </c>
      <c r="E65" t="s">
        <v>49</v>
      </c>
      <c r="F65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66" spans="1:6" x14ac:dyDescent="0.3">
      <c r="A66" s="2" t="s">
        <v>27</v>
      </c>
      <c r="B66">
        <v>13</v>
      </c>
      <c r="C66" t="s">
        <v>7</v>
      </c>
      <c r="D66" t="s">
        <v>8</v>
      </c>
      <c r="E66" t="s">
        <v>49</v>
      </c>
      <c r="F66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67" spans="1:6" x14ac:dyDescent="0.3">
      <c r="A67" s="2" t="s">
        <v>51</v>
      </c>
      <c r="B67">
        <v>12</v>
      </c>
      <c r="C67" t="s">
        <v>7</v>
      </c>
      <c r="D67" t="s">
        <v>8</v>
      </c>
      <c r="E67" t="s">
        <v>49</v>
      </c>
      <c r="F67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0</v>
      </c>
    </row>
    <row r="68" spans="1:6" x14ac:dyDescent="0.3">
      <c r="A68" s="2" t="s">
        <v>52</v>
      </c>
      <c r="B68">
        <v>12</v>
      </c>
      <c r="C68" t="s">
        <v>7</v>
      </c>
      <c r="D68" t="s">
        <v>8</v>
      </c>
      <c r="E68" t="s">
        <v>49</v>
      </c>
      <c r="F68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0</v>
      </c>
    </row>
    <row r="69" spans="1:6" x14ac:dyDescent="0.3">
      <c r="A69" s="2" t="s">
        <v>53</v>
      </c>
      <c r="B69">
        <v>10</v>
      </c>
      <c r="C69" t="s">
        <v>7</v>
      </c>
      <c r="D69" t="s">
        <v>8</v>
      </c>
      <c r="E69" t="s">
        <v>49</v>
      </c>
      <c r="F69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0</v>
      </c>
    </row>
    <row r="70" spans="1:6" x14ac:dyDescent="0.3">
      <c r="A70" s="2" t="s">
        <v>54</v>
      </c>
      <c r="B70">
        <v>8</v>
      </c>
      <c r="C70" t="s">
        <v>7</v>
      </c>
      <c r="D70" t="s">
        <v>8</v>
      </c>
      <c r="E70" t="s">
        <v>49</v>
      </c>
      <c r="F70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0</v>
      </c>
    </row>
    <row r="71" spans="1:6" x14ac:dyDescent="0.3">
      <c r="A71" s="2" t="s">
        <v>55</v>
      </c>
      <c r="B71">
        <v>8</v>
      </c>
      <c r="C71" t="s">
        <v>7</v>
      </c>
      <c r="D71" t="s">
        <v>8</v>
      </c>
      <c r="E71" t="s">
        <v>49</v>
      </c>
      <c r="F71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0</v>
      </c>
    </row>
    <row r="72" spans="1:6" x14ac:dyDescent="0.3">
      <c r="A72" s="2" t="s">
        <v>56</v>
      </c>
      <c r="B72">
        <v>4</v>
      </c>
      <c r="C72" t="s">
        <v>7</v>
      </c>
      <c r="D72" t="s">
        <v>8</v>
      </c>
      <c r="E72" t="s">
        <v>49</v>
      </c>
      <c r="F72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0</v>
      </c>
    </row>
    <row r="73" spans="1:6" x14ac:dyDescent="0.3">
      <c r="A73" s="2" t="s">
        <v>57</v>
      </c>
      <c r="B73">
        <v>3</v>
      </c>
      <c r="C73" t="s">
        <v>7</v>
      </c>
      <c r="D73" t="s">
        <v>8</v>
      </c>
      <c r="E73" t="s">
        <v>49</v>
      </c>
      <c r="F73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0</v>
      </c>
    </row>
    <row r="74" spans="1:6" x14ac:dyDescent="0.3">
      <c r="A74" s="2" t="s">
        <v>37</v>
      </c>
      <c r="B74">
        <v>3</v>
      </c>
      <c r="C74" t="s">
        <v>7</v>
      </c>
      <c r="D74" t="s">
        <v>8</v>
      </c>
      <c r="E74" t="s">
        <v>49</v>
      </c>
      <c r="F74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75" spans="1:6" x14ac:dyDescent="0.3">
      <c r="A75" s="2" t="s">
        <v>28</v>
      </c>
      <c r="B75">
        <v>3</v>
      </c>
      <c r="C75" t="s">
        <v>7</v>
      </c>
      <c r="D75" t="s">
        <v>8</v>
      </c>
      <c r="E75" t="s">
        <v>49</v>
      </c>
      <c r="F75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76" spans="1:6" x14ac:dyDescent="0.3">
      <c r="A76" s="2" t="s">
        <v>58</v>
      </c>
      <c r="B76">
        <v>2</v>
      </c>
      <c r="C76" t="s">
        <v>7</v>
      </c>
      <c r="D76" t="s">
        <v>8</v>
      </c>
      <c r="E76" t="s">
        <v>49</v>
      </c>
      <c r="F76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0</v>
      </c>
    </row>
    <row r="77" spans="1:6" x14ac:dyDescent="0.3">
      <c r="A77" s="2" t="s">
        <v>59</v>
      </c>
      <c r="B77">
        <v>2</v>
      </c>
      <c r="C77" t="s">
        <v>7</v>
      </c>
      <c r="D77" t="s">
        <v>8</v>
      </c>
      <c r="E77" t="s">
        <v>49</v>
      </c>
      <c r="F77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0</v>
      </c>
    </row>
    <row r="78" spans="1:6" x14ac:dyDescent="0.3">
      <c r="A78" s="2" t="s">
        <v>60</v>
      </c>
      <c r="B78">
        <v>2</v>
      </c>
      <c r="C78" t="s">
        <v>7</v>
      </c>
      <c r="D78" t="s">
        <v>8</v>
      </c>
      <c r="E78" t="s">
        <v>49</v>
      </c>
      <c r="F78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0</v>
      </c>
    </row>
    <row r="79" spans="1:6" x14ac:dyDescent="0.3">
      <c r="A79" s="2" t="s">
        <v>61</v>
      </c>
      <c r="B79">
        <v>2</v>
      </c>
      <c r="C79" t="s">
        <v>7</v>
      </c>
      <c r="D79" t="s">
        <v>8</v>
      </c>
      <c r="E79" t="s">
        <v>49</v>
      </c>
      <c r="F79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0</v>
      </c>
    </row>
    <row r="80" spans="1:6" x14ac:dyDescent="0.3">
      <c r="A80" s="2" t="s">
        <v>38</v>
      </c>
      <c r="B80">
        <v>2</v>
      </c>
      <c r="C80" t="s">
        <v>7</v>
      </c>
      <c r="D80" t="s">
        <v>8</v>
      </c>
      <c r="E80" t="s">
        <v>49</v>
      </c>
      <c r="F80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81" spans="1:6" x14ac:dyDescent="0.3">
      <c r="A81" s="2" t="s">
        <v>62</v>
      </c>
      <c r="B81">
        <v>16</v>
      </c>
      <c r="C81" t="s">
        <v>63</v>
      </c>
      <c r="D81" t="s">
        <v>8</v>
      </c>
      <c r="E81" t="s">
        <v>9</v>
      </c>
      <c r="F81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82" spans="1:6" x14ac:dyDescent="0.3">
      <c r="A82" s="2" t="s">
        <v>64</v>
      </c>
      <c r="B82">
        <v>12</v>
      </c>
      <c r="C82" t="s">
        <v>63</v>
      </c>
      <c r="D82" t="s">
        <v>8</v>
      </c>
      <c r="E82" t="s">
        <v>9</v>
      </c>
      <c r="F82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83" spans="1:6" x14ac:dyDescent="0.3">
      <c r="A83" s="2" t="s">
        <v>65</v>
      </c>
      <c r="B83">
        <v>6</v>
      </c>
      <c r="C83" t="s">
        <v>63</v>
      </c>
      <c r="D83" t="s">
        <v>8</v>
      </c>
      <c r="E83" t="s">
        <v>9</v>
      </c>
      <c r="F83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0</v>
      </c>
    </row>
    <row r="84" spans="1:6" x14ac:dyDescent="0.3">
      <c r="A84" s="2" t="s">
        <v>66</v>
      </c>
      <c r="B84">
        <v>6</v>
      </c>
      <c r="C84" t="s">
        <v>63</v>
      </c>
      <c r="D84" t="s">
        <v>8</v>
      </c>
      <c r="E84" t="s">
        <v>9</v>
      </c>
      <c r="F84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0</v>
      </c>
    </row>
    <row r="85" spans="1:6" x14ac:dyDescent="0.3">
      <c r="A85" s="2" t="s">
        <v>67</v>
      </c>
      <c r="B85">
        <v>6</v>
      </c>
      <c r="C85" t="s">
        <v>63</v>
      </c>
      <c r="D85" t="s">
        <v>8</v>
      </c>
      <c r="E85" t="s">
        <v>9</v>
      </c>
      <c r="F85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0</v>
      </c>
    </row>
    <row r="86" spans="1:6" x14ac:dyDescent="0.3">
      <c r="A86" s="2" t="s">
        <v>68</v>
      </c>
      <c r="B86">
        <v>6</v>
      </c>
      <c r="C86" t="s">
        <v>63</v>
      </c>
      <c r="D86" t="s">
        <v>8</v>
      </c>
      <c r="E86" t="s">
        <v>9</v>
      </c>
      <c r="F86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0</v>
      </c>
    </row>
    <row r="87" spans="1:6" x14ac:dyDescent="0.3">
      <c r="A87" s="2" t="s">
        <v>69</v>
      </c>
      <c r="B87">
        <v>6</v>
      </c>
      <c r="C87" t="s">
        <v>63</v>
      </c>
      <c r="D87" t="s">
        <v>8</v>
      </c>
      <c r="E87" t="s">
        <v>9</v>
      </c>
      <c r="F87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88" spans="1:6" x14ac:dyDescent="0.3">
      <c r="A88" s="2" t="s">
        <v>70</v>
      </c>
      <c r="B88">
        <v>6</v>
      </c>
      <c r="C88" t="s">
        <v>63</v>
      </c>
      <c r="D88" t="s">
        <v>8</v>
      </c>
      <c r="E88" t="s">
        <v>9</v>
      </c>
      <c r="F88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0</v>
      </c>
    </row>
    <row r="89" spans="1:6" x14ac:dyDescent="0.3">
      <c r="A89" s="2" t="s">
        <v>71</v>
      </c>
      <c r="B89">
        <v>6</v>
      </c>
      <c r="C89" t="s">
        <v>63</v>
      </c>
      <c r="D89" t="s">
        <v>8</v>
      </c>
      <c r="E89" t="s">
        <v>9</v>
      </c>
      <c r="F89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90" spans="1:6" x14ac:dyDescent="0.3">
      <c r="A90" s="2" t="s">
        <v>72</v>
      </c>
      <c r="B90">
        <v>6</v>
      </c>
      <c r="C90" t="s">
        <v>63</v>
      </c>
      <c r="D90" t="s">
        <v>8</v>
      </c>
      <c r="E90" t="s">
        <v>9</v>
      </c>
      <c r="F90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91" spans="1:6" x14ac:dyDescent="0.3">
      <c r="A91" s="2" t="s">
        <v>73</v>
      </c>
      <c r="B91">
        <v>4</v>
      </c>
      <c r="C91" t="s">
        <v>63</v>
      </c>
      <c r="D91" t="s">
        <v>8</v>
      </c>
      <c r="E91" t="s">
        <v>9</v>
      </c>
      <c r="F91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92" spans="1:6" x14ac:dyDescent="0.3">
      <c r="A92" s="2" t="s">
        <v>74</v>
      </c>
      <c r="B92">
        <v>4</v>
      </c>
      <c r="C92" t="s">
        <v>63</v>
      </c>
      <c r="D92" t="s">
        <v>8</v>
      </c>
      <c r="E92" t="s">
        <v>9</v>
      </c>
      <c r="F92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0</v>
      </c>
    </row>
    <row r="93" spans="1:6" x14ac:dyDescent="0.3">
      <c r="A93" s="2" t="s">
        <v>75</v>
      </c>
      <c r="B93">
        <v>4</v>
      </c>
      <c r="C93" t="s">
        <v>63</v>
      </c>
      <c r="D93" t="s">
        <v>8</v>
      </c>
      <c r="E93" t="s">
        <v>9</v>
      </c>
      <c r="F93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94" spans="1:6" x14ac:dyDescent="0.3">
      <c r="A94" s="2" t="s">
        <v>76</v>
      </c>
      <c r="B94">
        <v>4</v>
      </c>
      <c r="C94" t="s">
        <v>63</v>
      </c>
      <c r="D94" t="s">
        <v>8</v>
      </c>
      <c r="E94" t="s">
        <v>9</v>
      </c>
      <c r="F94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95" spans="1:6" x14ac:dyDescent="0.3">
      <c r="A95" s="2" t="s">
        <v>77</v>
      </c>
      <c r="B95">
        <v>4</v>
      </c>
      <c r="C95" t="s">
        <v>63</v>
      </c>
      <c r="D95" t="s">
        <v>8</v>
      </c>
      <c r="E95" t="s">
        <v>9</v>
      </c>
      <c r="F95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96" spans="1:6" x14ac:dyDescent="0.3">
      <c r="A96" s="2" t="s">
        <v>78</v>
      </c>
      <c r="B96">
        <v>4</v>
      </c>
      <c r="C96" t="s">
        <v>63</v>
      </c>
      <c r="D96" t="s">
        <v>8</v>
      </c>
      <c r="E96" t="s">
        <v>9</v>
      </c>
      <c r="F96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0</v>
      </c>
    </row>
    <row r="97" spans="1:6" x14ac:dyDescent="0.3">
      <c r="A97" s="2" t="s">
        <v>79</v>
      </c>
      <c r="B97">
        <v>3</v>
      </c>
      <c r="C97" t="s">
        <v>63</v>
      </c>
      <c r="D97" t="s">
        <v>8</v>
      </c>
      <c r="E97" t="s">
        <v>9</v>
      </c>
      <c r="F97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0</v>
      </c>
    </row>
    <row r="98" spans="1:6" x14ac:dyDescent="0.3">
      <c r="A98" s="2" t="s">
        <v>80</v>
      </c>
      <c r="B98">
        <v>3</v>
      </c>
      <c r="C98" t="s">
        <v>63</v>
      </c>
      <c r="D98" t="s">
        <v>8</v>
      </c>
      <c r="E98" t="s">
        <v>9</v>
      </c>
      <c r="F98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99" spans="1:6" x14ac:dyDescent="0.3">
      <c r="A99" s="2" t="s">
        <v>81</v>
      </c>
      <c r="B99">
        <v>2</v>
      </c>
      <c r="C99" t="s">
        <v>63</v>
      </c>
      <c r="D99" t="s">
        <v>8</v>
      </c>
      <c r="E99" t="s">
        <v>9</v>
      </c>
      <c r="F99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100" spans="1:6" x14ac:dyDescent="0.3">
      <c r="A100" s="2" t="s">
        <v>82</v>
      </c>
      <c r="B100">
        <v>2</v>
      </c>
      <c r="C100" t="s">
        <v>63</v>
      </c>
      <c r="D100" t="s">
        <v>8</v>
      </c>
      <c r="E100" t="s">
        <v>9</v>
      </c>
      <c r="F100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0</v>
      </c>
    </row>
    <row r="101" spans="1:6" x14ac:dyDescent="0.3">
      <c r="A101" s="2" t="s">
        <v>83</v>
      </c>
      <c r="B101">
        <v>2</v>
      </c>
      <c r="C101" t="s">
        <v>63</v>
      </c>
      <c r="D101" t="s">
        <v>8</v>
      </c>
      <c r="E101" t="s">
        <v>9</v>
      </c>
      <c r="F101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0</v>
      </c>
    </row>
    <row r="102" spans="1:6" x14ac:dyDescent="0.3">
      <c r="A102" s="2" t="s">
        <v>84</v>
      </c>
      <c r="B102">
        <v>2</v>
      </c>
      <c r="C102" t="s">
        <v>63</v>
      </c>
      <c r="D102" t="s">
        <v>8</v>
      </c>
      <c r="E102" t="s">
        <v>9</v>
      </c>
      <c r="F102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0</v>
      </c>
    </row>
    <row r="103" spans="1:6" x14ac:dyDescent="0.3">
      <c r="A103" s="2" t="s">
        <v>85</v>
      </c>
      <c r="B103">
        <v>1</v>
      </c>
      <c r="C103" t="s">
        <v>63</v>
      </c>
      <c r="D103" t="s">
        <v>8</v>
      </c>
      <c r="E103" t="s">
        <v>9</v>
      </c>
      <c r="F103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0</v>
      </c>
    </row>
    <row r="104" spans="1:6" x14ac:dyDescent="0.3">
      <c r="A104" s="2" t="s">
        <v>86</v>
      </c>
      <c r="B104">
        <v>1</v>
      </c>
      <c r="C104" t="s">
        <v>63</v>
      </c>
      <c r="D104" t="s">
        <v>8</v>
      </c>
      <c r="E104" t="s">
        <v>9</v>
      </c>
      <c r="F104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0</v>
      </c>
    </row>
    <row r="105" spans="1:6" x14ac:dyDescent="0.3">
      <c r="A105" s="2" t="s">
        <v>87</v>
      </c>
      <c r="B105">
        <v>1</v>
      </c>
      <c r="C105" t="s">
        <v>63</v>
      </c>
      <c r="D105" t="s">
        <v>8</v>
      </c>
      <c r="E105" t="s">
        <v>9</v>
      </c>
      <c r="F105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106" spans="1:6" x14ac:dyDescent="0.3">
      <c r="A106" s="2" t="s">
        <v>88</v>
      </c>
      <c r="B106">
        <v>1</v>
      </c>
      <c r="C106" t="s">
        <v>63</v>
      </c>
      <c r="D106" t="s">
        <v>8</v>
      </c>
      <c r="E106" t="s">
        <v>9</v>
      </c>
      <c r="F106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0</v>
      </c>
    </row>
    <row r="107" spans="1:6" x14ac:dyDescent="0.3">
      <c r="A107" s="2" t="s">
        <v>89</v>
      </c>
      <c r="B107">
        <v>1</v>
      </c>
      <c r="C107" t="s">
        <v>63</v>
      </c>
      <c r="D107" t="s">
        <v>8</v>
      </c>
      <c r="E107" t="s">
        <v>9</v>
      </c>
      <c r="F107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0</v>
      </c>
    </row>
    <row r="108" spans="1:6" x14ac:dyDescent="0.3">
      <c r="A108" s="2" t="s">
        <v>90</v>
      </c>
      <c r="B108">
        <v>1</v>
      </c>
      <c r="C108" t="s">
        <v>63</v>
      </c>
      <c r="D108" t="s">
        <v>8</v>
      </c>
      <c r="E108" t="s">
        <v>9</v>
      </c>
      <c r="F108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0</v>
      </c>
    </row>
    <row r="109" spans="1:6" x14ac:dyDescent="0.3">
      <c r="A109" s="2" t="s">
        <v>91</v>
      </c>
      <c r="B109">
        <v>1</v>
      </c>
      <c r="C109" t="s">
        <v>63</v>
      </c>
      <c r="D109" t="s">
        <v>8</v>
      </c>
      <c r="E109" t="s">
        <v>9</v>
      </c>
      <c r="F109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0</v>
      </c>
    </row>
    <row r="110" spans="1:6" x14ac:dyDescent="0.3">
      <c r="A110" s="2" t="s">
        <v>92</v>
      </c>
      <c r="B110">
        <v>1</v>
      </c>
      <c r="C110" t="s">
        <v>63</v>
      </c>
      <c r="D110" t="s">
        <v>8</v>
      </c>
      <c r="E110" t="s">
        <v>9</v>
      </c>
      <c r="F110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0</v>
      </c>
    </row>
    <row r="111" spans="1:6" x14ac:dyDescent="0.3">
      <c r="A111" s="2" t="s">
        <v>93</v>
      </c>
      <c r="B111">
        <v>1</v>
      </c>
      <c r="C111" t="s">
        <v>63</v>
      </c>
      <c r="D111" t="s">
        <v>8</v>
      </c>
      <c r="E111" t="s">
        <v>9</v>
      </c>
      <c r="F111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0</v>
      </c>
    </row>
    <row r="112" spans="1:6" x14ac:dyDescent="0.3">
      <c r="A112" s="2" t="s">
        <v>94</v>
      </c>
      <c r="B112">
        <v>1</v>
      </c>
      <c r="C112" t="s">
        <v>63</v>
      </c>
      <c r="D112" t="s">
        <v>8</v>
      </c>
      <c r="E112" t="s">
        <v>9</v>
      </c>
      <c r="F112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0</v>
      </c>
    </row>
    <row r="113" spans="1:6" x14ac:dyDescent="0.3">
      <c r="A113" s="2" t="s">
        <v>95</v>
      </c>
      <c r="B113">
        <v>1</v>
      </c>
      <c r="C113" t="s">
        <v>63</v>
      </c>
      <c r="D113" t="s">
        <v>8</v>
      </c>
      <c r="E113" t="s">
        <v>9</v>
      </c>
      <c r="F113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0</v>
      </c>
    </row>
    <row r="114" spans="1:6" x14ac:dyDescent="0.3">
      <c r="A114" s="2" t="s">
        <v>62</v>
      </c>
      <c r="B114">
        <v>29</v>
      </c>
      <c r="C114" t="s">
        <v>63</v>
      </c>
      <c r="D114" t="s">
        <v>8</v>
      </c>
      <c r="E114" t="s">
        <v>49</v>
      </c>
      <c r="F114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115" spans="1:6" x14ac:dyDescent="0.3">
      <c r="A115" s="2" t="s">
        <v>71</v>
      </c>
      <c r="B115">
        <v>27</v>
      </c>
      <c r="C115" t="s">
        <v>63</v>
      </c>
      <c r="D115" t="s">
        <v>8</v>
      </c>
      <c r="E115" t="s">
        <v>49</v>
      </c>
      <c r="F115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116" spans="1:6" x14ac:dyDescent="0.3">
      <c r="A116" s="2" t="s">
        <v>75</v>
      </c>
      <c r="B116">
        <v>15</v>
      </c>
      <c r="C116" t="s">
        <v>63</v>
      </c>
      <c r="D116" t="s">
        <v>8</v>
      </c>
      <c r="E116" t="s">
        <v>49</v>
      </c>
      <c r="F116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117" spans="1:6" x14ac:dyDescent="0.3">
      <c r="A117" s="2" t="s">
        <v>76</v>
      </c>
      <c r="B117">
        <v>8</v>
      </c>
      <c r="C117" t="s">
        <v>63</v>
      </c>
      <c r="D117" t="s">
        <v>8</v>
      </c>
      <c r="E117" t="s">
        <v>49</v>
      </c>
      <c r="F117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118" spans="1:6" x14ac:dyDescent="0.3">
      <c r="A118" s="2" t="s">
        <v>73</v>
      </c>
      <c r="B118">
        <v>8</v>
      </c>
      <c r="C118" t="s">
        <v>63</v>
      </c>
      <c r="D118" t="s">
        <v>8</v>
      </c>
      <c r="E118" t="s">
        <v>49</v>
      </c>
      <c r="F118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119" spans="1:6" x14ac:dyDescent="0.3">
      <c r="A119" s="2" t="s">
        <v>72</v>
      </c>
      <c r="B119">
        <v>5</v>
      </c>
      <c r="C119" t="s">
        <v>63</v>
      </c>
      <c r="D119" t="s">
        <v>8</v>
      </c>
      <c r="E119" t="s">
        <v>49</v>
      </c>
      <c r="F119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120" spans="1:6" x14ac:dyDescent="0.3">
      <c r="A120" s="2" t="s">
        <v>64</v>
      </c>
      <c r="B120">
        <v>2</v>
      </c>
      <c r="C120" t="s">
        <v>63</v>
      </c>
      <c r="D120" t="s">
        <v>8</v>
      </c>
      <c r="E120" t="s">
        <v>49</v>
      </c>
      <c r="F120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121" spans="1:6" x14ac:dyDescent="0.3">
      <c r="A121" s="2" t="s">
        <v>69</v>
      </c>
      <c r="B121">
        <v>1</v>
      </c>
      <c r="C121" t="s">
        <v>63</v>
      </c>
      <c r="D121" t="s">
        <v>8</v>
      </c>
      <c r="E121" t="s">
        <v>49</v>
      </c>
      <c r="F121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122" spans="1:6" x14ac:dyDescent="0.3">
      <c r="A122" s="2" t="s">
        <v>96</v>
      </c>
      <c r="B122">
        <v>1</v>
      </c>
      <c r="C122" t="s">
        <v>63</v>
      </c>
      <c r="D122" t="s">
        <v>8</v>
      </c>
      <c r="E122" t="s">
        <v>49</v>
      </c>
      <c r="F122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0</v>
      </c>
    </row>
    <row r="123" spans="1:6" x14ac:dyDescent="0.3">
      <c r="A123" s="2" t="s">
        <v>87</v>
      </c>
      <c r="B123">
        <v>1</v>
      </c>
      <c r="C123" t="s">
        <v>63</v>
      </c>
      <c r="D123" t="s">
        <v>8</v>
      </c>
      <c r="E123" t="s">
        <v>49</v>
      </c>
      <c r="F123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124" spans="1:6" x14ac:dyDescent="0.3">
      <c r="A124" s="2" t="s">
        <v>77</v>
      </c>
      <c r="B124">
        <v>1</v>
      </c>
      <c r="C124" t="s">
        <v>63</v>
      </c>
      <c r="D124" t="s">
        <v>8</v>
      </c>
      <c r="E124" t="s">
        <v>49</v>
      </c>
      <c r="F124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125" spans="1:6" x14ac:dyDescent="0.3">
      <c r="A125" s="2" t="s">
        <v>80</v>
      </c>
      <c r="B125">
        <v>1</v>
      </c>
      <c r="C125" t="s">
        <v>63</v>
      </c>
      <c r="D125" t="s">
        <v>8</v>
      </c>
      <c r="E125" t="s">
        <v>49</v>
      </c>
      <c r="F125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126" spans="1:6" x14ac:dyDescent="0.3">
      <c r="A126" s="2" t="s">
        <v>97</v>
      </c>
      <c r="B126">
        <v>1</v>
      </c>
      <c r="C126" t="s">
        <v>63</v>
      </c>
      <c r="D126" t="s">
        <v>8</v>
      </c>
      <c r="E126" t="s">
        <v>49</v>
      </c>
      <c r="F126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0</v>
      </c>
    </row>
    <row r="127" spans="1:6" x14ac:dyDescent="0.3">
      <c r="A127" s="2" t="s">
        <v>81</v>
      </c>
      <c r="B127">
        <v>1</v>
      </c>
      <c r="C127" t="s">
        <v>63</v>
      </c>
      <c r="D127" t="s">
        <v>8</v>
      </c>
      <c r="E127" t="s">
        <v>49</v>
      </c>
      <c r="F127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128" spans="1:6" x14ac:dyDescent="0.3">
      <c r="A128" s="2" t="s">
        <v>10</v>
      </c>
      <c r="B128">
        <v>325</v>
      </c>
      <c r="C128" t="s">
        <v>7</v>
      </c>
      <c r="D128" t="s">
        <v>108</v>
      </c>
      <c r="E128" t="s">
        <v>49</v>
      </c>
      <c r="F128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129" spans="1:6" x14ac:dyDescent="0.3">
      <c r="A129" s="2" t="s">
        <v>6</v>
      </c>
      <c r="B129">
        <v>325</v>
      </c>
      <c r="C129" t="s">
        <v>7</v>
      </c>
      <c r="D129" t="s">
        <v>108</v>
      </c>
      <c r="E129" t="s">
        <v>49</v>
      </c>
      <c r="F129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130" spans="1:6" x14ac:dyDescent="0.3">
      <c r="A130" s="2" t="s">
        <v>34</v>
      </c>
      <c r="B130">
        <v>325</v>
      </c>
      <c r="C130" t="s">
        <v>7</v>
      </c>
      <c r="D130" t="s">
        <v>108</v>
      </c>
      <c r="E130" t="s">
        <v>49</v>
      </c>
      <c r="F130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131" spans="1:6" x14ac:dyDescent="0.3">
      <c r="A131" s="2" t="s">
        <v>11</v>
      </c>
      <c r="B131">
        <v>314</v>
      </c>
      <c r="C131" t="s">
        <v>7</v>
      </c>
      <c r="D131" t="s">
        <v>108</v>
      </c>
      <c r="E131" t="s">
        <v>49</v>
      </c>
      <c r="F131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132" spans="1:6" x14ac:dyDescent="0.3">
      <c r="A132" s="2" t="s">
        <v>12</v>
      </c>
      <c r="B132">
        <v>231</v>
      </c>
      <c r="C132" t="s">
        <v>7</v>
      </c>
      <c r="D132" t="s">
        <v>108</v>
      </c>
      <c r="E132" t="s">
        <v>49</v>
      </c>
      <c r="F132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133" spans="1:6" x14ac:dyDescent="0.3">
      <c r="A133" s="2" t="s">
        <v>25</v>
      </c>
      <c r="B133">
        <v>227</v>
      </c>
      <c r="C133" t="s">
        <v>7</v>
      </c>
      <c r="D133" t="s">
        <v>108</v>
      </c>
      <c r="E133" t="s">
        <v>49</v>
      </c>
      <c r="F133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134" spans="1:6" x14ac:dyDescent="0.3">
      <c r="A134" s="2" t="s">
        <v>24</v>
      </c>
      <c r="B134">
        <v>227</v>
      </c>
      <c r="C134" t="s">
        <v>7</v>
      </c>
      <c r="D134" t="s">
        <v>108</v>
      </c>
      <c r="E134" t="s">
        <v>49</v>
      </c>
      <c r="F134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135" spans="1:6" x14ac:dyDescent="0.3">
      <c r="A135" s="2" t="s">
        <v>23</v>
      </c>
      <c r="B135">
        <v>226</v>
      </c>
      <c r="C135" t="s">
        <v>7</v>
      </c>
      <c r="D135" t="s">
        <v>108</v>
      </c>
      <c r="E135" t="s">
        <v>49</v>
      </c>
      <c r="F135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136" spans="1:6" x14ac:dyDescent="0.3">
      <c r="A136" s="2" t="s">
        <v>22</v>
      </c>
      <c r="B136">
        <v>225</v>
      </c>
      <c r="C136" t="s">
        <v>7</v>
      </c>
      <c r="D136" t="s">
        <v>108</v>
      </c>
      <c r="E136" t="s">
        <v>49</v>
      </c>
      <c r="F136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137" spans="1:6" x14ac:dyDescent="0.3">
      <c r="A137" s="2" t="s">
        <v>21</v>
      </c>
      <c r="B137">
        <v>225</v>
      </c>
      <c r="C137" t="s">
        <v>7</v>
      </c>
      <c r="D137" t="s">
        <v>108</v>
      </c>
      <c r="E137" t="s">
        <v>49</v>
      </c>
      <c r="F137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138" spans="1:6" x14ac:dyDescent="0.3">
      <c r="A138" s="2" t="s">
        <v>20</v>
      </c>
      <c r="B138">
        <v>225</v>
      </c>
      <c r="C138" t="s">
        <v>7</v>
      </c>
      <c r="D138" t="s">
        <v>108</v>
      </c>
      <c r="E138" t="s">
        <v>49</v>
      </c>
      <c r="F138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139" spans="1:6" x14ac:dyDescent="0.3">
      <c r="A139" s="2" t="s">
        <v>50</v>
      </c>
      <c r="B139">
        <v>225</v>
      </c>
      <c r="C139" t="s">
        <v>7</v>
      </c>
      <c r="D139" t="s">
        <v>108</v>
      </c>
      <c r="E139" t="s">
        <v>49</v>
      </c>
      <c r="F139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0</v>
      </c>
    </row>
    <row r="140" spans="1:6" x14ac:dyDescent="0.3">
      <c r="A140" s="2" t="s">
        <v>28</v>
      </c>
      <c r="B140">
        <v>125</v>
      </c>
      <c r="C140" t="s">
        <v>7</v>
      </c>
      <c r="D140" t="s">
        <v>108</v>
      </c>
      <c r="E140" t="s">
        <v>49</v>
      </c>
      <c r="F140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141" spans="1:6" x14ac:dyDescent="0.3">
      <c r="A141" s="2" t="s">
        <v>36</v>
      </c>
      <c r="B141">
        <v>121</v>
      </c>
      <c r="C141" t="s">
        <v>7</v>
      </c>
      <c r="D141" t="s">
        <v>108</v>
      </c>
      <c r="E141" t="s">
        <v>49</v>
      </c>
      <c r="F141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142" spans="1:6" x14ac:dyDescent="0.3">
      <c r="A142" s="2" t="s">
        <v>13</v>
      </c>
      <c r="B142">
        <v>121</v>
      </c>
      <c r="C142" t="s">
        <v>7</v>
      </c>
      <c r="D142" t="s">
        <v>108</v>
      </c>
      <c r="E142" t="s">
        <v>49</v>
      </c>
      <c r="F142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143" spans="1:6" x14ac:dyDescent="0.3">
      <c r="A143" s="2" t="s">
        <v>19</v>
      </c>
      <c r="B143">
        <v>118</v>
      </c>
      <c r="C143" t="s">
        <v>7</v>
      </c>
      <c r="D143" t="s">
        <v>108</v>
      </c>
      <c r="E143" t="s">
        <v>49</v>
      </c>
      <c r="F143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144" spans="1:6" x14ac:dyDescent="0.3">
      <c r="A144" s="2" t="s">
        <v>18</v>
      </c>
      <c r="B144">
        <v>117</v>
      </c>
      <c r="C144" t="s">
        <v>7</v>
      </c>
      <c r="D144" t="s">
        <v>108</v>
      </c>
      <c r="E144" t="s">
        <v>49</v>
      </c>
      <c r="F144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145" spans="1:6" x14ac:dyDescent="0.3">
      <c r="A145" s="2" t="s">
        <v>16</v>
      </c>
      <c r="B145">
        <v>117</v>
      </c>
      <c r="C145" t="s">
        <v>7</v>
      </c>
      <c r="D145" t="s">
        <v>108</v>
      </c>
      <c r="E145" t="s">
        <v>49</v>
      </c>
      <c r="F145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146" spans="1:6" x14ac:dyDescent="0.3">
      <c r="A146" s="2" t="s">
        <v>17</v>
      </c>
      <c r="B146">
        <v>117</v>
      </c>
      <c r="C146" t="s">
        <v>7</v>
      </c>
      <c r="D146" t="s">
        <v>108</v>
      </c>
      <c r="E146" t="s">
        <v>49</v>
      </c>
      <c r="F146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147" spans="1:6" x14ac:dyDescent="0.3">
      <c r="A147" s="2" t="s">
        <v>35</v>
      </c>
      <c r="B147">
        <v>115</v>
      </c>
      <c r="C147" t="s">
        <v>7</v>
      </c>
      <c r="D147" t="s">
        <v>108</v>
      </c>
      <c r="E147" t="s">
        <v>49</v>
      </c>
      <c r="F147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148" spans="1:6" x14ac:dyDescent="0.3">
      <c r="A148" s="2" t="s">
        <v>14</v>
      </c>
      <c r="B148">
        <v>115</v>
      </c>
      <c r="C148" t="s">
        <v>7</v>
      </c>
      <c r="D148" t="s">
        <v>108</v>
      </c>
      <c r="E148" t="s">
        <v>49</v>
      </c>
      <c r="F148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149" spans="1:6" x14ac:dyDescent="0.3">
      <c r="A149" s="2" t="s">
        <v>15</v>
      </c>
      <c r="B149">
        <v>114</v>
      </c>
      <c r="C149" t="s">
        <v>7</v>
      </c>
      <c r="D149" t="s">
        <v>108</v>
      </c>
      <c r="E149" t="s">
        <v>49</v>
      </c>
      <c r="F149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150" spans="1:6" x14ac:dyDescent="0.3">
      <c r="A150" s="2" t="s">
        <v>26</v>
      </c>
      <c r="B150">
        <v>111</v>
      </c>
      <c r="C150" t="s">
        <v>7</v>
      </c>
      <c r="D150" t="s">
        <v>108</v>
      </c>
      <c r="E150" t="s">
        <v>49</v>
      </c>
      <c r="F150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151" spans="1:6" x14ac:dyDescent="0.3">
      <c r="A151" s="2" t="s">
        <v>41</v>
      </c>
      <c r="B151">
        <v>110</v>
      </c>
      <c r="C151" t="s">
        <v>7</v>
      </c>
      <c r="D151" t="s">
        <v>108</v>
      </c>
      <c r="E151" t="s">
        <v>49</v>
      </c>
      <c r="F151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152" spans="1:6" x14ac:dyDescent="0.3">
      <c r="A152" s="2" t="s">
        <v>48</v>
      </c>
      <c r="B152">
        <v>82</v>
      </c>
      <c r="C152" t="s">
        <v>7</v>
      </c>
      <c r="D152" t="s">
        <v>108</v>
      </c>
      <c r="E152" t="s">
        <v>49</v>
      </c>
      <c r="F152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153" spans="1:6" x14ac:dyDescent="0.3">
      <c r="A153" s="2" t="s">
        <v>45</v>
      </c>
      <c r="B153">
        <v>82</v>
      </c>
      <c r="C153" t="s">
        <v>7</v>
      </c>
      <c r="D153" t="s">
        <v>108</v>
      </c>
      <c r="E153" t="s">
        <v>49</v>
      </c>
      <c r="F153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154" spans="1:6" x14ac:dyDescent="0.3">
      <c r="A154" s="2" t="s">
        <v>44</v>
      </c>
      <c r="B154">
        <v>82</v>
      </c>
      <c r="C154" t="s">
        <v>7</v>
      </c>
      <c r="D154" t="s">
        <v>108</v>
      </c>
      <c r="E154" t="s">
        <v>49</v>
      </c>
      <c r="F154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155" spans="1:6" x14ac:dyDescent="0.3">
      <c r="A155" s="2" t="s">
        <v>30</v>
      </c>
      <c r="B155">
        <v>75</v>
      </c>
      <c r="C155" t="s">
        <v>7</v>
      </c>
      <c r="D155" t="s">
        <v>108</v>
      </c>
      <c r="E155" t="s">
        <v>49</v>
      </c>
      <c r="F155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156" spans="1:6" x14ac:dyDescent="0.3">
      <c r="A156" s="2" t="s">
        <v>29</v>
      </c>
      <c r="B156">
        <v>74</v>
      </c>
      <c r="C156" t="s">
        <v>7</v>
      </c>
      <c r="D156" t="s">
        <v>108</v>
      </c>
      <c r="E156" t="s">
        <v>49</v>
      </c>
      <c r="F156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157" spans="1:6" x14ac:dyDescent="0.3">
      <c r="A157" s="2" t="s">
        <v>32</v>
      </c>
      <c r="B157">
        <v>74</v>
      </c>
      <c r="C157" t="s">
        <v>7</v>
      </c>
      <c r="D157" t="s">
        <v>108</v>
      </c>
      <c r="E157" t="s">
        <v>49</v>
      </c>
      <c r="F157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158" spans="1:6" x14ac:dyDescent="0.3">
      <c r="A158" s="2" t="s">
        <v>54</v>
      </c>
      <c r="B158">
        <v>61</v>
      </c>
      <c r="C158" t="s">
        <v>7</v>
      </c>
      <c r="D158" t="s">
        <v>108</v>
      </c>
      <c r="E158" t="s">
        <v>49</v>
      </c>
      <c r="F158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159" spans="1:6" x14ac:dyDescent="0.3">
      <c r="A159" s="2" t="s">
        <v>55</v>
      </c>
      <c r="B159">
        <v>60</v>
      </c>
      <c r="C159" t="s">
        <v>7</v>
      </c>
      <c r="D159" t="s">
        <v>108</v>
      </c>
      <c r="E159" t="s">
        <v>49</v>
      </c>
      <c r="F159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160" spans="1:6" x14ac:dyDescent="0.3">
      <c r="A160" s="2" t="s">
        <v>109</v>
      </c>
      <c r="B160">
        <v>44</v>
      </c>
      <c r="C160" t="s">
        <v>7</v>
      </c>
      <c r="D160" t="s">
        <v>108</v>
      </c>
      <c r="E160" t="s">
        <v>49</v>
      </c>
      <c r="F160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161" spans="1:6" x14ac:dyDescent="0.3">
      <c r="A161" s="2" t="s">
        <v>110</v>
      </c>
      <c r="B161">
        <v>43</v>
      </c>
      <c r="C161" t="s">
        <v>7</v>
      </c>
      <c r="D161" t="s">
        <v>108</v>
      </c>
      <c r="E161" t="s">
        <v>49</v>
      </c>
      <c r="F161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162" spans="1:6" x14ac:dyDescent="0.3">
      <c r="A162" s="2" t="s">
        <v>111</v>
      </c>
      <c r="B162">
        <v>43</v>
      </c>
      <c r="C162" t="s">
        <v>7</v>
      </c>
      <c r="D162" t="s">
        <v>108</v>
      </c>
      <c r="E162" t="s">
        <v>49</v>
      </c>
      <c r="F162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163" spans="1:6" x14ac:dyDescent="0.3">
      <c r="A163" s="2" t="s">
        <v>57</v>
      </c>
      <c r="B163">
        <v>30</v>
      </c>
      <c r="C163" t="s">
        <v>7</v>
      </c>
      <c r="D163" t="s">
        <v>108</v>
      </c>
      <c r="E163" t="s">
        <v>49</v>
      </c>
      <c r="F163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164" spans="1:6" x14ac:dyDescent="0.3">
      <c r="A164" s="2" t="s">
        <v>112</v>
      </c>
      <c r="B164">
        <v>20</v>
      </c>
      <c r="C164" t="s">
        <v>7</v>
      </c>
      <c r="D164" t="s">
        <v>108</v>
      </c>
      <c r="E164" t="s">
        <v>49</v>
      </c>
      <c r="F164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0</v>
      </c>
    </row>
    <row r="165" spans="1:6" x14ac:dyDescent="0.3">
      <c r="A165" s="2" t="s">
        <v>27</v>
      </c>
      <c r="B165">
        <v>16</v>
      </c>
      <c r="C165" t="s">
        <v>7</v>
      </c>
      <c r="D165" t="s">
        <v>108</v>
      </c>
      <c r="E165" t="s">
        <v>49</v>
      </c>
      <c r="F165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166" spans="1:6" x14ac:dyDescent="0.3">
      <c r="A166" s="2" t="s">
        <v>52</v>
      </c>
      <c r="B166">
        <v>13</v>
      </c>
      <c r="C166" t="s">
        <v>7</v>
      </c>
      <c r="D166" t="s">
        <v>108</v>
      </c>
      <c r="E166" t="s">
        <v>49</v>
      </c>
      <c r="F166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0</v>
      </c>
    </row>
    <row r="167" spans="1:6" x14ac:dyDescent="0.3">
      <c r="A167" s="2" t="s">
        <v>51</v>
      </c>
      <c r="B167">
        <v>13</v>
      </c>
      <c r="C167" t="s">
        <v>7</v>
      </c>
      <c r="D167" t="s">
        <v>108</v>
      </c>
      <c r="E167" t="s">
        <v>49</v>
      </c>
      <c r="F167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0</v>
      </c>
    </row>
    <row r="168" spans="1:6" x14ac:dyDescent="0.3">
      <c r="A168" s="2" t="s">
        <v>73</v>
      </c>
      <c r="B168">
        <v>58</v>
      </c>
      <c r="C168" t="s">
        <v>63</v>
      </c>
      <c r="D168" t="s">
        <v>108</v>
      </c>
      <c r="E168" t="s">
        <v>49</v>
      </c>
      <c r="F168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169" spans="1:6" x14ac:dyDescent="0.3">
      <c r="A169" s="2" t="s">
        <v>75</v>
      </c>
      <c r="B169">
        <v>55</v>
      </c>
      <c r="C169" t="s">
        <v>63</v>
      </c>
      <c r="D169" t="s">
        <v>108</v>
      </c>
      <c r="E169" t="s">
        <v>49</v>
      </c>
      <c r="F169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170" spans="1:6" x14ac:dyDescent="0.3">
      <c r="A170" s="2" t="s">
        <v>76</v>
      </c>
      <c r="B170">
        <v>55</v>
      </c>
      <c r="C170" t="s">
        <v>63</v>
      </c>
      <c r="D170" t="s">
        <v>108</v>
      </c>
      <c r="E170" t="s">
        <v>49</v>
      </c>
      <c r="F170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171" spans="1:6" x14ac:dyDescent="0.3">
      <c r="A171" s="2" t="s">
        <v>62</v>
      </c>
      <c r="B171">
        <v>16</v>
      </c>
      <c r="C171" t="s">
        <v>63</v>
      </c>
      <c r="D171" t="s">
        <v>108</v>
      </c>
      <c r="E171" t="s">
        <v>49</v>
      </c>
      <c r="F171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172" spans="1:6" x14ac:dyDescent="0.3">
      <c r="A172" s="2" t="s">
        <v>64</v>
      </c>
      <c r="B172">
        <v>11</v>
      </c>
      <c r="C172" t="s">
        <v>63</v>
      </c>
      <c r="D172" t="s">
        <v>108</v>
      </c>
      <c r="E172" t="s">
        <v>49</v>
      </c>
      <c r="F172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173" spans="1:6" x14ac:dyDescent="0.3">
      <c r="A173" s="2" t="s">
        <v>71</v>
      </c>
      <c r="B173">
        <v>10</v>
      </c>
      <c r="C173" t="s">
        <v>63</v>
      </c>
      <c r="D173" t="s">
        <v>108</v>
      </c>
      <c r="E173" t="s">
        <v>49</v>
      </c>
      <c r="F173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174" spans="1:6" x14ac:dyDescent="0.3">
      <c r="A174" s="2" t="s">
        <v>77</v>
      </c>
      <c r="B174">
        <v>9</v>
      </c>
      <c r="C174" t="s">
        <v>63</v>
      </c>
      <c r="D174" t="s">
        <v>108</v>
      </c>
      <c r="E174" t="s">
        <v>49</v>
      </c>
      <c r="F174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175" spans="1:6" x14ac:dyDescent="0.3">
      <c r="A175" s="2" t="s">
        <v>69</v>
      </c>
      <c r="B175">
        <v>7</v>
      </c>
      <c r="C175" t="s">
        <v>63</v>
      </c>
      <c r="D175" t="s">
        <v>108</v>
      </c>
      <c r="E175" t="s">
        <v>49</v>
      </c>
      <c r="F175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176" spans="1:6" x14ac:dyDescent="0.3">
      <c r="A176" s="2" t="s">
        <v>113</v>
      </c>
      <c r="B176">
        <v>4</v>
      </c>
      <c r="C176" t="s">
        <v>63</v>
      </c>
      <c r="D176" t="s">
        <v>108</v>
      </c>
      <c r="E176" t="s">
        <v>49</v>
      </c>
      <c r="F176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0</v>
      </c>
    </row>
    <row r="177" spans="1:6" x14ac:dyDescent="0.3">
      <c r="A177" s="2" t="s">
        <v>80</v>
      </c>
      <c r="B177">
        <v>3</v>
      </c>
      <c r="C177" t="s">
        <v>63</v>
      </c>
      <c r="D177" t="s">
        <v>108</v>
      </c>
      <c r="E177" t="s">
        <v>49</v>
      </c>
      <c r="F177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0</v>
      </c>
    </row>
    <row r="178" spans="1:6" x14ac:dyDescent="0.3">
      <c r="A178" s="2" t="s">
        <v>67</v>
      </c>
      <c r="B178">
        <v>3</v>
      </c>
      <c r="C178" t="s">
        <v>63</v>
      </c>
      <c r="D178" t="s">
        <v>108</v>
      </c>
      <c r="E178" t="s">
        <v>49</v>
      </c>
      <c r="F178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179" spans="1:6" x14ac:dyDescent="0.3">
      <c r="A179" s="2" t="s">
        <v>68</v>
      </c>
      <c r="B179">
        <v>3</v>
      </c>
      <c r="C179" t="s">
        <v>63</v>
      </c>
      <c r="D179" t="s">
        <v>108</v>
      </c>
      <c r="E179" t="s">
        <v>49</v>
      </c>
      <c r="F179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180" spans="1:6" x14ac:dyDescent="0.3">
      <c r="A180" s="2" t="s">
        <v>114</v>
      </c>
      <c r="B180">
        <v>3</v>
      </c>
      <c r="C180" t="s">
        <v>63</v>
      </c>
      <c r="D180" t="s">
        <v>108</v>
      </c>
      <c r="E180" t="s">
        <v>49</v>
      </c>
      <c r="F180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0</v>
      </c>
    </row>
    <row r="181" spans="1:6" x14ac:dyDescent="0.3">
      <c r="A181" s="2" t="s">
        <v>65</v>
      </c>
      <c r="B181">
        <v>2</v>
      </c>
      <c r="C181" t="s">
        <v>63</v>
      </c>
      <c r="D181" t="s">
        <v>108</v>
      </c>
      <c r="E181" t="s">
        <v>49</v>
      </c>
      <c r="F181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0</v>
      </c>
    </row>
    <row r="182" spans="1:6" x14ac:dyDescent="0.3">
      <c r="A182" s="2" t="s">
        <v>70</v>
      </c>
      <c r="B182">
        <v>2</v>
      </c>
      <c r="C182" t="s">
        <v>63</v>
      </c>
      <c r="D182" t="s">
        <v>108</v>
      </c>
      <c r="E182" t="s">
        <v>49</v>
      </c>
      <c r="F182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0</v>
      </c>
    </row>
    <row r="183" spans="1:6" x14ac:dyDescent="0.3">
      <c r="A183" s="2" t="s">
        <v>115</v>
      </c>
      <c r="B183">
        <v>2</v>
      </c>
      <c r="C183" t="s">
        <v>63</v>
      </c>
      <c r="D183" t="s">
        <v>108</v>
      </c>
      <c r="E183" t="s">
        <v>49</v>
      </c>
      <c r="F183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0</v>
      </c>
    </row>
    <row r="184" spans="1:6" x14ac:dyDescent="0.3">
      <c r="A184" s="2" t="s">
        <v>66</v>
      </c>
      <c r="B184">
        <v>2</v>
      </c>
      <c r="C184" t="s">
        <v>63</v>
      </c>
      <c r="D184" t="s">
        <v>108</v>
      </c>
      <c r="E184" t="s">
        <v>49</v>
      </c>
      <c r="F184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0</v>
      </c>
    </row>
    <row r="185" spans="1:6" x14ac:dyDescent="0.3">
      <c r="A185" s="2" t="s">
        <v>116</v>
      </c>
      <c r="B185">
        <v>1</v>
      </c>
      <c r="C185" t="s">
        <v>63</v>
      </c>
      <c r="D185" t="s">
        <v>108</v>
      </c>
      <c r="E185" t="s">
        <v>49</v>
      </c>
      <c r="F185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0</v>
      </c>
    </row>
    <row r="186" spans="1:6" x14ac:dyDescent="0.3">
      <c r="A186" s="2" t="s">
        <v>117</v>
      </c>
      <c r="B186">
        <v>1</v>
      </c>
      <c r="C186" t="s">
        <v>63</v>
      </c>
      <c r="D186" t="s">
        <v>108</v>
      </c>
      <c r="E186" t="s">
        <v>49</v>
      </c>
      <c r="F186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0</v>
      </c>
    </row>
    <row r="187" spans="1:6" x14ac:dyDescent="0.3">
      <c r="A187" s="2" t="s">
        <v>88</v>
      </c>
      <c r="B187">
        <v>1</v>
      </c>
      <c r="C187" t="s">
        <v>63</v>
      </c>
      <c r="D187" t="s">
        <v>108</v>
      </c>
      <c r="E187" t="s">
        <v>49</v>
      </c>
      <c r="F187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0</v>
      </c>
    </row>
    <row r="188" spans="1:6" x14ac:dyDescent="0.3">
      <c r="A188" s="2" t="s">
        <v>118</v>
      </c>
      <c r="B188">
        <v>1</v>
      </c>
      <c r="C188" t="s">
        <v>63</v>
      </c>
      <c r="D188" t="s">
        <v>108</v>
      </c>
      <c r="E188" t="s">
        <v>49</v>
      </c>
      <c r="F188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0</v>
      </c>
    </row>
    <row r="189" spans="1:6" x14ac:dyDescent="0.3">
      <c r="A189" s="2" t="s">
        <v>119</v>
      </c>
      <c r="B189">
        <v>1</v>
      </c>
      <c r="C189" t="s">
        <v>63</v>
      </c>
      <c r="D189" t="s">
        <v>108</v>
      </c>
      <c r="E189" t="s">
        <v>49</v>
      </c>
      <c r="F189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0</v>
      </c>
    </row>
    <row r="190" spans="1:6" x14ac:dyDescent="0.3">
      <c r="A190" s="2" t="s">
        <v>97</v>
      </c>
      <c r="B190">
        <v>1</v>
      </c>
      <c r="C190" t="s">
        <v>63</v>
      </c>
      <c r="D190" t="s">
        <v>108</v>
      </c>
      <c r="E190" t="s">
        <v>49</v>
      </c>
      <c r="F190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191" spans="1:6" x14ac:dyDescent="0.3">
      <c r="A191" s="2" t="s">
        <v>85</v>
      </c>
      <c r="B191">
        <v>1</v>
      </c>
      <c r="C191" t="s">
        <v>63</v>
      </c>
      <c r="D191" t="s">
        <v>108</v>
      </c>
      <c r="E191" t="s">
        <v>49</v>
      </c>
      <c r="F191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0</v>
      </c>
    </row>
    <row r="192" spans="1:6" x14ac:dyDescent="0.3">
      <c r="A192" s="2" t="s">
        <v>120</v>
      </c>
      <c r="B192">
        <v>1</v>
      </c>
      <c r="C192" t="s">
        <v>63</v>
      </c>
      <c r="D192" t="s">
        <v>108</v>
      </c>
      <c r="E192" t="s">
        <v>49</v>
      </c>
      <c r="F192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0</v>
      </c>
    </row>
    <row r="193" spans="1:6" x14ac:dyDescent="0.3">
      <c r="A193" s="2" t="s">
        <v>6</v>
      </c>
      <c r="B193">
        <v>280</v>
      </c>
      <c r="C193" t="s">
        <v>7</v>
      </c>
      <c r="D193" t="s">
        <v>108</v>
      </c>
      <c r="E193" t="s">
        <v>9</v>
      </c>
      <c r="F193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194" spans="1:6" x14ac:dyDescent="0.3">
      <c r="A194" s="2" t="s">
        <v>10</v>
      </c>
      <c r="B194">
        <v>280</v>
      </c>
      <c r="C194" t="s">
        <v>7</v>
      </c>
      <c r="D194" t="s">
        <v>108</v>
      </c>
      <c r="E194" t="s">
        <v>9</v>
      </c>
      <c r="F194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195" spans="1:6" x14ac:dyDescent="0.3">
      <c r="A195" s="2" t="s">
        <v>12</v>
      </c>
      <c r="B195">
        <v>270</v>
      </c>
      <c r="C195" t="s">
        <v>7</v>
      </c>
      <c r="D195" t="s">
        <v>108</v>
      </c>
      <c r="E195" t="s">
        <v>9</v>
      </c>
      <c r="F195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196" spans="1:6" x14ac:dyDescent="0.3">
      <c r="A196" s="2" t="s">
        <v>21</v>
      </c>
      <c r="B196">
        <v>254</v>
      </c>
      <c r="C196" t="s">
        <v>7</v>
      </c>
      <c r="D196" t="s">
        <v>108</v>
      </c>
      <c r="E196" t="s">
        <v>9</v>
      </c>
      <c r="F196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197" spans="1:6" x14ac:dyDescent="0.3">
      <c r="A197" s="2" t="s">
        <v>22</v>
      </c>
      <c r="B197">
        <v>253</v>
      </c>
      <c r="C197" t="s">
        <v>7</v>
      </c>
      <c r="D197" t="s">
        <v>108</v>
      </c>
      <c r="E197" t="s">
        <v>9</v>
      </c>
      <c r="F197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198" spans="1:6" x14ac:dyDescent="0.3">
      <c r="A198" s="2" t="s">
        <v>23</v>
      </c>
      <c r="B198">
        <v>253</v>
      </c>
      <c r="C198" t="s">
        <v>7</v>
      </c>
      <c r="D198" t="s">
        <v>108</v>
      </c>
      <c r="E198" t="s">
        <v>9</v>
      </c>
      <c r="F198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199" spans="1:6" x14ac:dyDescent="0.3">
      <c r="A199" s="2" t="s">
        <v>24</v>
      </c>
      <c r="B199">
        <v>248</v>
      </c>
      <c r="C199" t="s">
        <v>7</v>
      </c>
      <c r="D199" t="s">
        <v>108</v>
      </c>
      <c r="E199" t="s">
        <v>9</v>
      </c>
      <c r="F199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200" spans="1:6" x14ac:dyDescent="0.3">
      <c r="A200" s="2" t="s">
        <v>20</v>
      </c>
      <c r="B200">
        <v>244</v>
      </c>
      <c r="C200" t="s">
        <v>7</v>
      </c>
      <c r="D200" t="s">
        <v>108</v>
      </c>
      <c r="E200" t="s">
        <v>9</v>
      </c>
      <c r="F200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201" spans="1:6" x14ac:dyDescent="0.3">
      <c r="A201" s="2" t="s">
        <v>25</v>
      </c>
      <c r="B201">
        <v>242</v>
      </c>
      <c r="C201" t="s">
        <v>7</v>
      </c>
      <c r="D201" t="s">
        <v>108</v>
      </c>
      <c r="E201" t="s">
        <v>9</v>
      </c>
      <c r="F201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202" spans="1:6" x14ac:dyDescent="0.3">
      <c r="A202" s="2" t="s">
        <v>11</v>
      </c>
      <c r="B202">
        <v>183</v>
      </c>
      <c r="C202" t="s">
        <v>7</v>
      </c>
      <c r="D202" t="s">
        <v>108</v>
      </c>
      <c r="E202" t="s">
        <v>9</v>
      </c>
      <c r="F202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203" spans="1:6" x14ac:dyDescent="0.3">
      <c r="A203" s="2" t="s">
        <v>14</v>
      </c>
      <c r="B203">
        <v>170</v>
      </c>
      <c r="C203" t="s">
        <v>7</v>
      </c>
      <c r="D203" t="s">
        <v>108</v>
      </c>
      <c r="E203" t="s">
        <v>9</v>
      </c>
      <c r="F203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204" spans="1:6" x14ac:dyDescent="0.3">
      <c r="A204" s="2" t="s">
        <v>15</v>
      </c>
      <c r="B204">
        <v>170</v>
      </c>
      <c r="C204" t="s">
        <v>7</v>
      </c>
      <c r="D204" t="s">
        <v>108</v>
      </c>
      <c r="E204" t="s">
        <v>9</v>
      </c>
      <c r="F204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205" spans="1:6" x14ac:dyDescent="0.3">
      <c r="A205" s="2" t="s">
        <v>18</v>
      </c>
      <c r="B205">
        <v>162</v>
      </c>
      <c r="C205" t="s">
        <v>7</v>
      </c>
      <c r="D205" t="s">
        <v>108</v>
      </c>
      <c r="E205" t="s">
        <v>9</v>
      </c>
      <c r="F205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206" spans="1:6" x14ac:dyDescent="0.3">
      <c r="A206" s="2" t="s">
        <v>17</v>
      </c>
      <c r="B206">
        <v>162</v>
      </c>
      <c r="C206" t="s">
        <v>7</v>
      </c>
      <c r="D206" t="s">
        <v>108</v>
      </c>
      <c r="E206" t="s">
        <v>9</v>
      </c>
      <c r="F206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207" spans="1:6" x14ac:dyDescent="0.3">
      <c r="A207" s="2" t="s">
        <v>16</v>
      </c>
      <c r="B207">
        <v>162</v>
      </c>
      <c r="C207" t="s">
        <v>7</v>
      </c>
      <c r="D207" t="s">
        <v>108</v>
      </c>
      <c r="E207" t="s">
        <v>9</v>
      </c>
      <c r="F207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208" spans="1:6" x14ac:dyDescent="0.3">
      <c r="A208" s="2" t="s">
        <v>19</v>
      </c>
      <c r="B208">
        <v>152</v>
      </c>
      <c r="C208" t="s">
        <v>7</v>
      </c>
      <c r="D208" t="s">
        <v>108</v>
      </c>
      <c r="E208" t="s">
        <v>9</v>
      </c>
      <c r="F208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209" spans="1:6" x14ac:dyDescent="0.3">
      <c r="A209" s="2" t="s">
        <v>32</v>
      </c>
      <c r="B209">
        <v>122</v>
      </c>
      <c r="C209" t="s">
        <v>7</v>
      </c>
      <c r="D209" t="s">
        <v>108</v>
      </c>
      <c r="E209" t="s">
        <v>9</v>
      </c>
      <c r="F209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210" spans="1:6" x14ac:dyDescent="0.3">
      <c r="A210" s="2" t="s">
        <v>30</v>
      </c>
      <c r="B210">
        <v>122</v>
      </c>
      <c r="C210" t="s">
        <v>7</v>
      </c>
      <c r="D210" t="s">
        <v>108</v>
      </c>
      <c r="E210" t="s">
        <v>9</v>
      </c>
      <c r="F210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211" spans="1:6" x14ac:dyDescent="0.3">
      <c r="A211" s="2" t="s">
        <v>35</v>
      </c>
      <c r="B211">
        <v>119</v>
      </c>
      <c r="C211" t="s">
        <v>7</v>
      </c>
      <c r="D211" t="s">
        <v>108</v>
      </c>
      <c r="E211" t="s">
        <v>9</v>
      </c>
      <c r="F211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212" spans="1:6" x14ac:dyDescent="0.3">
      <c r="A212" s="2" t="s">
        <v>13</v>
      </c>
      <c r="B212">
        <v>102</v>
      </c>
      <c r="C212" t="s">
        <v>7</v>
      </c>
      <c r="D212" t="s">
        <v>108</v>
      </c>
      <c r="E212" t="s">
        <v>9</v>
      </c>
      <c r="F212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213" spans="1:6" x14ac:dyDescent="0.3">
      <c r="A213" s="2" t="s">
        <v>34</v>
      </c>
      <c r="B213">
        <v>91</v>
      </c>
      <c r="C213" t="s">
        <v>7</v>
      </c>
      <c r="D213" t="s">
        <v>108</v>
      </c>
      <c r="E213" t="s">
        <v>9</v>
      </c>
      <c r="F213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214" spans="1:6" x14ac:dyDescent="0.3">
      <c r="A214" s="2" t="s">
        <v>27</v>
      </c>
      <c r="B214">
        <v>71</v>
      </c>
      <c r="C214" t="s">
        <v>7</v>
      </c>
      <c r="D214" t="s">
        <v>108</v>
      </c>
      <c r="E214" t="s">
        <v>9</v>
      </c>
      <c r="F214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215" spans="1:6" x14ac:dyDescent="0.3">
      <c r="A215" s="2" t="s">
        <v>48</v>
      </c>
      <c r="B215">
        <v>51</v>
      </c>
      <c r="C215" t="s">
        <v>7</v>
      </c>
      <c r="D215" t="s">
        <v>108</v>
      </c>
      <c r="E215" t="s">
        <v>9</v>
      </c>
      <c r="F215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216" spans="1:6" x14ac:dyDescent="0.3">
      <c r="A216" s="2" t="s">
        <v>45</v>
      </c>
      <c r="B216">
        <v>51</v>
      </c>
      <c r="C216" t="s">
        <v>7</v>
      </c>
      <c r="D216" t="s">
        <v>108</v>
      </c>
      <c r="E216" t="s">
        <v>9</v>
      </c>
      <c r="F216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217" spans="1:6" x14ac:dyDescent="0.3">
      <c r="A217" s="2" t="s">
        <v>54</v>
      </c>
      <c r="B217">
        <v>51</v>
      </c>
      <c r="C217" t="s">
        <v>7</v>
      </c>
      <c r="D217" t="s">
        <v>108</v>
      </c>
      <c r="E217" t="s">
        <v>9</v>
      </c>
      <c r="F217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218" spans="1:6" x14ac:dyDescent="0.3">
      <c r="A218" s="2" t="s">
        <v>44</v>
      </c>
      <c r="B218">
        <v>51</v>
      </c>
      <c r="C218" t="s">
        <v>7</v>
      </c>
      <c r="D218" t="s">
        <v>108</v>
      </c>
      <c r="E218" t="s">
        <v>9</v>
      </c>
      <c r="F218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219" spans="1:6" x14ac:dyDescent="0.3">
      <c r="A219" s="2" t="s">
        <v>26</v>
      </c>
      <c r="B219">
        <v>48</v>
      </c>
      <c r="C219" t="s">
        <v>7</v>
      </c>
      <c r="D219" t="s">
        <v>108</v>
      </c>
      <c r="E219" t="s">
        <v>9</v>
      </c>
      <c r="F219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220" spans="1:6" x14ac:dyDescent="0.3">
      <c r="A220" s="2" t="s">
        <v>28</v>
      </c>
      <c r="B220">
        <v>44</v>
      </c>
      <c r="C220" t="s">
        <v>7</v>
      </c>
      <c r="D220" t="s">
        <v>108</v>
      </c>
      <c r="E220" t="s">
        <v>9</v>
      </c>
      <c r="F220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221" spans="1:6" x14ac:dyDescent="0.3">
      <c r="A221" s="2" t="s">
        <v>29</v>
      </c>
      <c r="B221">
        <v>41</v>
      </c>
      <c r="C221" t="s">
        <v>7</v>
      </c>
      <c r="D221" t="s">
        <v>108</v>
      </c>
      <c r="E221" t="s">
        <v>9</v>
      </c>
      <c r="F221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222" spans="1:6" x14ac:dyDescent="0.3">
      <c r="A222" s="2" t="s">
        <v>31</v>
      </c>
      <c r="B222">
        <v>40</v>
      </c>
      <c r="C222" t="s">
        <v>7</v>
      </c>
      <c r="D222" t="s">
        <v>108</v>
      </c>
      <c r="E222" t="s">
        <v>9</v>
      </c>
      <c r="F222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0</v>
      </c>
    </row>
    <row r="223" spans="1:6" x14ac:dyDescent="0.3">
      <c r="A223" s="2" t="s">
        <v>38</v>
      </c>
      <c r="B223">
        <v>38</v>
      </c>
      <c r="C223" t="s">
        <v>7</v>
      </c>
      <c r="D223" t="s">
        <v>108</v>
      </c>
      <c r="E223" t="s">
        <v>9</v>
      </c>
      <c r="F223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0</v>
      </c>
    </row>
    <row r="224" spans="1:6" x14ac:dyDescent="0.3">
      <c r="A224" s="2" t="s">
        <v>41</v>
      </c>
      <c r="B224">
        <v>26</v>
      </c>
      <c r="C224" t="s">
        <v>7</v>
      </c>
      <c r="D224" t="s">
        <v>108</v>
      </c>
      <c r="E224" t="s">
        <v>9</v>
      </c>
      <c r="F224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225" spans="1:6" x14ac:dyDescent="0.3">
      <c r="A225" s="2" t="s">
        <v>109</v>
      </c>
      <c r="B225">
        <v>22</v>
      </c>
      <c r="C225" t="s">
        <v>7</v>
      </c>
      <c r="D225" t="s">
        <v>108</v>
      </c>
      <c r="E225" t="s">
        <v>9</v>
      </c>
      <c r="F225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226" spans="1:6" x14ac:dyDescent="0.3">
      <c r="A226" s="2" t="s">
        <v>55</v>
      </c>
      <c r="B226">
        <v>21</v>
      </c>
      <c r="C226" t="s">
        <v>7</v>
      </c>
      <c r="D226" t="s">
        <v>108</v>
      </c>
      <c r="E226" t="s">
        <v>9</v>
      </c>
      <c r="F226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227" spans="1:6" x14ac:dyDescent="0.3">
      <c r="A227" s="2" t="s">
        <v>110</v>
      </c>
      <c r="B227">
        <v>19</v>
      </c>
      <c r="C227" t="s">
        <v>7</v>
      </c>
      <c r="D227" t="s">
        <v>108</v>
      </c>
      <c r="E227" t="s">
        <v>9</v>
      </c>
      <c r="F227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228" spans="1:6" x14ac:dyDescent="0.3">
      <c r="A228" s="2" t="s">
        <v>111</v>
      </c>
      <c r="B228">
        <v>19</v>
      </c>
      <c r="C228" t="s">
        <v>7</v>
      </c>
      <c r="D228" t="s">
        <v>108</v>
      </c>
      <c r="E228" t="s">
        <v>9</v>
      </c>
      <c r="F228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229" spans="1:6" x14ac:dyDescent="0.3">
      <c r="A229" s="2" t="s">
        <v>36</v>
      </c>
      <c r="B229">
        <v>18</v>
      </c>
      <c r="C229" t="s">
        <v>7</v>
      </c>
      <c r="D229" t="s">
        <v>108</v>
      </c>
      <c r="E229" t="s">
        <v>9</v>
      </c>
      <c r="F229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230" spans="1:6" x14ac:dyDescent="0.3">
      <c r="A230" s="2" t="s">
        <v>33</v>
      </c>
      <c r="B230">
        <v>17</v>
      </c>
      <c r="C230" t="s">
        <v>7</v>
      </c>
      <c r="D230" t="s">
        <v>108</v>
      </c>
      <c r="E230" t="s">
        <v>9</v>
      </c>
      <c r="F230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0</v>
      </c>
    </row>
    <row r="231" spans="1:6" x14ac:dyDescent="0.3">
      <c r="A231" s="2" t="s">
        <v>46</v>
      </c>
      <c r="B231">
        <v>16</v>
      </c>
      <c r="C231" t="s">
        <v>7</v>
      </c>
      <c r="D231" t="s">
        <v>108</v>
      </c>
      <c r="E231" t="s">
        <v>9</v>
      </c>
      <c r="F231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0</v>
      </c>
    </row>
    <row r="232" spans="1:6" x14ac:dyDescent="0.3">
      <c r="A232" s="2" t="s">
        <v>57</v>
      </c>
      <c r="B232">
        <v>15</v>
      </c>
      <c r="C232" t="s">
        <v>7</v>
      </c>
      <c r="D232" t="s">
        <v>108</v>
      </c>
      <c r="E232" t="s">
        <v>9</v>
      </c>
      <c r="F232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233" spans="1:6" x14ac:dyDescent="0.3">
      <c r="A233" s="2" t="s">
        <v>73</v>
      </c>
      <c r="B233">
        <v>37</v>
      </c>
      <c r="C233" t="s">
        <v>63</v>
      </c>
      <c r="D233" t="s">
        <v>108</v>
      </c>
      <c r="E233" t="s">
        <v>9</v>
      </c>
      <c r="F233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234" spans="1:6" x14ac:dyDescent="0.3">
      <c r="A234" s="2" t="s">
        <v>76</v>
      </c>
      <c r="B234">
        <v>37</v>
      </c>
      <c r="C234" t="s">
        <v>63</v>
      </c>
      <c r="D234" t="s">
        <v>108</v>
      </c>
      <c r="E234" t="s">
        <v>9</v>
      </c>
      <c r="F234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235" spans="1:6" x14ac:dyDescent="0.3">
      <c r="A235" s="2" t="s">
        <v>75</v>
      </c>
      <c r="B235">
        <v>37</v>
      </c>
      <c r="C235" t="s">
        <v>63</v>
      </c>
      <c r="D235" t="s">
        <v>108</v>
      </c>
      <c r="E235" t="s">
        <v>9</v>
      </c>
      <c r="F235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236" spans="1:6" x14ac:dyDescent="0.3">
      <c r="A236" s="2" t="s">
        <v>62</v>
      </c>
      <c r="B236">
        <v>15</v>
      </c>
      <c r="C236" t="s">
        <v>63</v>
      </c>
      <c r="D236" t="s">
        <v>108</v>
      </c>
      <c r="E236" t="s">
        <v>9</v>
      </c>
      <c r="F236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237" spans="1:6" x14ac:dyDescent="0.3">
      <c r="A237" s="2" t="s">
        <v>64</v>
      </c>
      <c r="B237">
        <v>14</v>
      </c>
      <c r="C237" t="s">
        <v>63</v>
      </c>
      <c r="D237" t="s">
        <v>108</v>
      </c>
      <c r="E237" t="s">
        <v>9</v>
      </c>
      <c r="F237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238" spans="1:6" x14ac:dyDescent="0.3">
      <c r="A238" s="2" t="s">
        <v>77</v>
      </c>
      <c r="B238">
        <v>14</v>
      </c>
      <c r="C238" t="s">
        <v>63</v>
      </c>
      <c r="D238" t="s">
        <v>108</v>
      </c>
      <c r="E238" t="s">
        <v>9</v>
      </c>
      <c r="F238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239" spans="1:6" x14ac:dyDescent="0.3">
      <c r="A239" s="2" t="s">
        <v>69</v>
      </c>
      <c r="B239">
        <v>12</v>
      </c>
      <c r="C239" t="s">
        <v>63</v>
      </c>
      <c r="D239" t="s">
        <v>108</v>
      </c>
      <c r="E239" t="s">
        <v>9</v>
      </c>
      <c r="F239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240" spans="1:6" x14ac:dyDescent="0.3">
      <c r="A240" s="2" t="s">
        <v>71</v>
      </c>
      <c r="B240">
        <v>5</v>
      </c>
      <c r="C240" t="s">
        <v>63</v>
      </c>
      <c r="D240" t="s">
        <v>108</v>
      </c>
      <c r="E240" t="s">
        <v>9</v>
      </c>
      <c r="F240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241" spans="1:6" x14ac:dyDescent="0.3">
      <c r="A241" s="2" t="s">
        <v>68</v>
      </c>
      <c r="B241">
        <v>4</v>
      </c>
      <c r="C241" t="s">
        <v>63</v>
      </c>
      <c r="D241" t="s">
        <v>108</v>
      </c>
      <c r="E241" t="s">
        <v>9</v>
      </c>
      <c r="F241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242" spans="1:6" x14ac:dyDescent="0.3">
      <c r="A242" s="2" t="s">
        <v>121</v>
      </c>
      <c r="B242">
        <v>4</v>
      </c>
      <c r="C242" t="s">
        <v>63</v>
      </c>
      <c r="D242" t="s">
        <v>108</v>
      </c>
      <c r="E242" t="s">
        <v>9</v>
      </c>
      <c r="F242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0</v>
      </c>
    </row>
    <row r="243" spans="1:6" x14ac:dyDescent="0.3">
      <c r="A243" s="2" t="s">
        <v>67</v>
      </c>
      <c r="B243">
        <v>3</v>
      </c>
      <c r="C243" t="s">
        <v>63</v>
      </c>
      <c r="D243" t="s">
        <v>108</v>
      </c>
      <c r="E243" t="s">
        <v>9</v>
      </c>
      <c r="F243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244" spans="1:6" x14ac:dyDescent="0.3">
      <c r="A244" s="2" t="s">
        <v>122</v>
      </c>
      <c r="B244">
        <v>1</v>
      </c>
      <c r="C244" t="s">
        <v>63</v>
      </c>
      <c r="D244" t="s">
        <v>108</v>
      </c>
      <c r="E244" t="s">
        <v>9</v>
      </c>
      <c r="F244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0</v>
      </c>
    </row>
    <row r="245" spans="1:6" x14ac:dyDescent="0.3">
      <c r="A245" s="2" t="s">
        <v>123</v>
      </c>
      <c r="B245">
        <v>1</v>
      </c>
      <c r="C245" t="s">
        <v>63</v>
      </c>
      <c r="D245" t="s">
        <v>108</v>
      </c>
      <c r="E245" t="s">
        <v>9</v>
      </c>
      <c r="F245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0</v>
      </c>
    </row>
    <row r="246" spans="1:6" x14ac:dyDescent="0.3">
      <c r="A246" s="2" t="s">
        <v>124</v>
      </c>
      <c r="B246">
        <v>1</v>
      </c>
      <c r="C246" t="s">
        <v>63</v>
      </c>
      <c r="D246" t="s">
        <v>108</v>
      </c>
      <c r="E246" t="s">
        <v>9</v>
      </c>
      <c r="F246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0</v>
      </c>
    </row>
    <row r="247" spans="1:6" x14ac:dyDescent="0.3">
      <c r="A247" s="2" t="s">
        <v>90</v>
      </c>
      <c r="B247">
        <v>1</v>
      </c>
      <c r="C247" t="s">
        <v>63</v>
      </c>
      <c r="D247" t="s">
        <v>108</v>
      </c>
      <c r="E247" t="s">
        <v>9</v>
      </c>
      <c r="F247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0</v>
      </c>
    </row>
    <row r="248" spans="1:6" x14ac:dyDescent="0.3">
      <c r="A248" s="2" t="s">
        <v>125</v>
      </c>
      <c r="B248">
        <v>1</v>
      </c>
      <c r="C248" t="s">
        <v>63</v>
      </c>
      <c r="D248" t="s">
        <v>108</v>
      </c>
      <c r="E248" t="s">
        <v>9</v>
      </c>
      <c r="F248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0</v>
      </c>
    </row>
    <row r="249" spans="1:6" x14ac:dyDescent="0.3">
      <c r="A249" s="2" t="s">
        <v>94</v>
      </c>
      <c r="B249">
        <v>1</v>
      </c>
      <c r="C249" t="s">
        <v>63</v>
      </c>
      <c r="D249" t="s">
        <v>108</v>
      </c>
      <c r="E249" t="s">
        <v>9</v>
      </c>
      <c r="F249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0</v>
      </c>
    </row>
    <row r="250" spans="1:6" x14ac:dyDescent="0.3">
      <c r="A250" s="2" t="s">
        <v>126</v>
      </c>
      <c r="B250">
        <v>1</v>
      </c>
      <c r="C250" t="s">
        <v>63</v>
      </c>
      <c r="D250" t="s">
        <v>108</v>
      </c>
      <c r="E250" t="s">
        <v>9</v>
      </c>
      <c r="F250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0</v>
      </c>
    </row>
    <row r="251" spans="1:6" x14ac:dyDescent="0.3">
      <c r="A251" s="2" t="s">
        <v>97</v>
      </c>
      <c r="B251">
        <v>1</v>
      </c>
      <c r="C251" t="s">
        <v>63</v>
      </c>
      <c r="D251" t="s">
        <v>108</v>
      </c>
      <c r="E251" t="s">
        <v>9</v>
      </c>
      <c r="F251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1</v>
      </c>
    </row>
    <row r="252" spans="1:6" x14ac:dyDescent="0.3">
      <c r="A252" s="2" t="s">
        <v>127</v>
      </c>
      <c r="B252">
        <v>1</v>
      </c>
      <c r="C252" t="s">
        <v>63</v>
      </c>
      <c r="D252" t="s">
        <v>108</v>
      </c>
      <c r="E252" t="s">
        <v>9</v>
      </c>
      <c r="F252">
        <f>IF(DatenGesamt[[#This Row],[KH]]="KH 1",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2",
              DatenGesamt[Anzahl],"&gt;0"),
  COUNTIFS(DatenGesamt[Art der Leistung],DatenGesamt[[#This Row],[Art der Leistung]],
              DatenGesamt[Operationsart],DatenGesamt[[#This Row],[Operationsart]],
              DatenGesamt[Kategorie (Labor, Rad, Lunge, EKG)],DatenGesamt[[#This Row],[Kategorie (Labor, Rad, Lunge, EKG)]],
              DatenGesamt[KH],"KH 1",
              DatenGesamt[Anzahl],"&gt;0")
)</f>
        <v>0</v>
      </c>
    </row>
  </sheetData>
  <pageMargins left="0.7" right="0.7" top="0.78740157499999996" bottom="0.78740157499999996" header="0.3" footer="0.3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6D777-8105-4A6D-A389-0F0E8D7AD43B}">
  <dimension ref="A3:Q274"/>
  <sheetViews>
    <sheetView zoomScale="85" zoomScaleNormal="85" workbookViewId="0">
      <selection activeCell="F17" sqref="F17"/>
    </sheetView>
  </sheetViews>
  <sheetFormatPr baseColWidth="10" defaultColWidth="11.44140625" defaultRowHeight="14.4" x14ac:dyDescent="0.3"/>
  <cols>
    <col min="1" max="1" width="75.88671875" bestFit="1" customWidth="1"/>
    <col min="2" max="2" width="25" bestFit="1" customWidth="1"/>
    <col min="3" max="3" width="5.109375" bestFit="1" customWidth="1"/>
    <col min="4" max="4" width="16.44140625" bestFit="1" customWidth="1"/>
    <col min="5" max="5" width="5" bestFit="1" customWidth="1"/>
    <col min="6" max="6" width="26.88671875" bestFit="1" customWidth="1"/>
    <col min="7" max="7" width="22.33203125" bestFit="1" customWidth="1"/>
    <col min="8" max="8" width="26.6640625" bestFit="1" customWidth="1"/>
    <col min="9" max="9" width="21.6640625" bestFit="1" customWidth="1"/>
    <col min="10" max="10" width="16.33203125" customWidth="1"/>
    <col min="11" max="11" width="22.88671875" customWidth="1"/>
    <col min="12" max="12" width="30.33203125" bestFit="1" customWidth="1"/>
    <col min="13" max="13" width="30.5546875" bestFit="1" customWidth="1"/>
    <col min="14" max="14" width="19.6640625" bestFit="1" customWidth="1"/>
    <col min="15" max="15" width="7.88671875" bestFit="1" customWidth="1"/>
    <col min="16" max="16" width="8.44140625" bestFit="1" customWidth="1"/>
    <col min="17" max="17" width="11.33203125" bestFit="1" customWidth="1"/>
  </cols>
  <sheetData>
    <row r="3" spans="1:17" x14ac:dyDescent="0.3">
      <c r="A3" s="25" t="s">
        <v>129</v>
      </c>
      <c r="B3" s="25" t="s">
        <v>130</v>
      </c>
    </row>
    <row r="4" spans="1:17" x14ac:dyDescent="0.3">
      <c r="A4" s="25" t="s">
        <v>131</v>
      </c>
      <c r="B4" t="s">
        <v>9</v>
      </c>
      <c r="C4" t="s">
        <v>49</v>
      </c>
      <c r="D4" t="s">
        <v>132</v>
      </c>
      <c r="G4" s="36" t="s">
        <v>133</v>
      </c>
      <c r="H4" s="36" t="s">
        <v>134</v>
      </c>
      <c r="J4" s="27" t="s">
        <v>135</v>
      </c>
      <c r="K4" s="28" t="s">
        <v>98</v>
      </c>
      <c r="L4" s="28" t="s">
        <v>136</v>
      </c>
      <c r="M4" s="28" t="s">
        <v>137</v>
      </c>
      <c r="N4" s="28" t="s">
        <v>138</v>
      </c>
      <c r="O4" s="28" t="s">
        <v>139</v>
      </c>
      <c r="P4" s="28" t="s">
        <v>140</v>
      </c>
      <c r="Q4" s="29" t="s">
        <v>141</v>
      </c>
    </row>
    <row r="5" spans="1:17" x14ac:dyDescent="0.3">
      <c r="A5" s="2" t="s">
        <v>44</v>
      </c>
      <c r="B5">
        <v>60</v>
      </c>
      <c r="C5">
        <v>82</v>
      </c>
      <c r="D5">
        <v>142</v>
      </c>
      <c r="G5" s="37">
        <f>SUMIF(HernieVergleich[Kategorie],"Laborleistungen",HernieVergleich[Anzahl KH2])</f>
        <v>1990</v>
      </c>
      <c r="H5" s="37">
        <f>SUMIF(HernieVergleich[Kategorie],"Radiologieleistungen",HernieVergleich[Anzahl KH2])</f>
        <v>101</v>
      </c>
      <c r="J5" s="30" t="s">
        <v>8</v>
      </c>
      <c r="K5" s="31" t="s">
        <v>7</v>
      </c>
      <c r="L5" s="31">
        <f>COUNTIFS(DatenGesamt[Anzahl],"&gt;0",DatenGesamt[Operationsart],"Hernie",DatenGesamt[Kategorie (Labor, Rad, Lunge, EKG)],"Laborleistungen",DatenGesamt[KH],"KH 1")</f>
        <v>40</v>
      </c>
      <c r="M5" s="31">
        <f>COUNTIFS(DatenGesamt[Anzahl],"&gt;0",DatenGesamt[Operationsart],"Hernie",DatenGesamt[Kategorie (Labor, Rad, Lunge, EKG)],"Laborleistungen",DatenGesamt[KH],"KH 2")</f>
        <v>39</v>
      </c>
      <c r="N5" s="31">
        <f>L5-M5</f>
        <v>1</v>
      </c>
      <c r="O5" s="31">
        <f>COUNTIFS(DatenGesamt[Operationsart],J5,
             DatenGesamt[Kategorie (Labor, Rad, Lunge, EKG)],K5,
             DatenGesamt[KH],"KH 1",
             DatenGesamt[Anzahl],"&gt;0",
             DatenGesamt[AndereKH_Anzahl],"=0")</f>
        <v>13</v>
      </c>
      <c r="P5" s="31">
        <f>COUNTIFS(DatenGesamt[Operationsart],J5,
             DatenGesamt[Kategorie (Labor, Rad, Lunge, EKG)],K5,
             DatenGesamt[KH],"KH 2",
             DatenGesamt[Anzahl],"&gt;0",
             DatenGesamt[AndereKH_Anzahl],"=0")</f>
        <v>12</v>
      </c>
      <c r="Q5" s="32">
        <f>COUNTIFS(DatenGesamt[Operationsart],J5,
             DatenGesamt[Kategorie (Labor, Rad, Lunge, EKG)],K5,
             DatenGesamt[KH],"KH 1",
             DatenGesamt[Anzahl],"&gt;0",
             DatenGesamt[AndereKH_Anzahl],"&gt;0")</f>
        <v>27</v>
      </c>
    </row>
    <row r="6" spans="1:17" x14ac:dyDescent="0.3">
      <c r="A6" s="26" t="s">
        <v>108</v>
      </c>
      <c r="B6">
        <v>51</v>
      </c>
      <c r="C6">
        <v>82</v>
      </c>
      <c r="D6">
        <v>133</v>
      </c>
      <c r="J6" s="33" t="s">
        <v>8</v>
      </c>
      <c r="K6" s="34" t="s">
        <v>63</v>
      </c>
      <c r="L6" s="34">
        <f>COUNTIFS(DatenGesamt[Anzahl],"&gt;0",DatenGesamt[Operationsart],"Hernie",DatenGesamt[Kategorie (Labor, Rad, Lunge, EKG)],"Radiologieleistungen",DatenGesamt[KH],"KH 1")</f>
        <v>33</v>
      </c>
      <c r="M6" s="34">
        <f>COUNTIFS(DatenGesamt[Anzahl],"&gt;0",DatenGesamt[Operationsart],"Hernie",DatenGesamt[Kategorie (Labor, Rad, Lunge, EKG)],"Radiologieleistungen",DatenGesamt[KH],"KH 2")</f>
        <v>14</v>
      </c>
      <c r="N6" s="34">
        <f t="shared" ref="N6:N8" si="0">L6-M6</f>
        <v>19</v>
      </c>
      <c r="O6" s="34">
        <f>COUNTIFS(DatenGesamt[Operationsart],J6,
             DatenGesamt[Kategorie (Labor, Rad, Lunge, EKG)],K6,
             DatenGesamt[KH],"KH 1",
             DatenGesamt[Anzahl],"&gt;0",
             DatenGesamt[AndereKH_Anzahl],"=0")</f>
        <v>21</v>
      </c>
      <c r="P6" s="34">
        <f>COUNTIFS(DatenGesamt[Operationsart],J6,
             DatenGesamt[Kategorie (Labor, Rad, Lunge, EKG)],K6,
             DatenGesamt[KH],"KH 2",
             DatenGesamt[Anzahl],"&gt;0",
             DatenGesamt[AndereKH_Anzahl],"=0")</f>
        <v>2</v>
      </c>
      <c r="Q6" s="35">
        <f>COUNTIFS(DatenGesamt[Operationsart],J6,
             DatenGesamt[Kategorie (Labor, Rad, Lunge, EKG)],K6,
             DatenGesamt[KH],"KH 1",
             DatenGesamt[Anzahl],"&gt;0",
             DatenGesamt[AndereKH_Anzahl],"&gt;0")</f>
        <v>12</v>
      </c>
    </row>
    <row r="7" spans="1:17" x14ac:dyDescent="0.3">
      <c r="A7" s="26" t="s">
        <v>8</v>
      </c>
      <c r="B7">
        <v>9</v>
      </c>
      <c r="D7">
        <v>9</v>
      </c>
      <c r="J7" s="30" t="s">
        <v>108</v>
      </c>
      <c r="K7" s="31" t="s">
        <v>7</v>
      </c>
      <c r="L7" s="31">
        <f>COUNTIFS(DatenGesamt[Anzahl],"&gt;0",DatenGesamt[Operationsart],"Galle",DatenGesamt[Kategorie (Labor, Rad, Lunge, EKG)],"Laborleistungen",DatenGesamt[KH],"KH 1")</f>
        <v>40</v>
      </c>
      <c r="M7" s="31">
        <f>COUNTIFS(DatenGesamt[Anzahl],"&gt;0",DatenGesamt[Operationsart],"Galle",DatenGesamt[Kategorie (Labor, Rad, Lunge, EKG)],"Laborleistungen",DatenGesamt[KH],"KH 2")</f>
        <v>40</v>
      </c>
      <c r="N7" s="31">
        <f t="shared" si="0"/>
        <v>0</v>
      </c>
      <c r="O7" s="31">
        <f>COUNTIFS(DatenGesamt[Operationsart],J7,
             DatenGesamt[Kategorie (Labor, Rad, Lunge, EKG)],K7,
             DatenGesamt[KH],"KH 1",
             DatenGesamt[Anzahl],"&gt;0",
             DatenGesamt[AndereKH_Anzahl],"=0")</f>
        <v>4</v>
      </c>
      <c r="P7" s="31">
        <f>COUNTIFS(DatenGesamt[Operationsart],J7,
             DatenGesamt[Kategorie (Labor, Rad, Lunge, EKG)],K7,
             DatenGesamt[KH],"KH 2",
             DatenGesamt[Anzahl],"&gt;0",
             DatenGesamt[AndereKH_Anzahl],"=0")</f>
        <v>4</v>
      </c>
      <c r="Q7" s="32">
        <f>COUNTIFS(DatenGesamt[Operationsart],J7,
             DatenGesamt[Kategorie (Labor, Rad, Lunge, EKG)],K7,
             DatenGesamt[KH],"KH 1",
             DatenGesamt[Anzahl],"&gt;0",
             DatenGesamt[AndereKH_Anzahl],"&gt;0")</f>
        <v>36</v>
      </c>
    </row>
    <row r="8" spans="1:17" x14ac:dyDescent="0.3">
      <c r="A8" s="2" t="s">
        <v>50</v>
      </c>
      <c r="C8">
        <v>295</v>
      </c>
      <c r="D8">
        <v>295</v>
      </c>
      <c r="J8" s="22" t="s">
        <v>108</v>
      </c>
      <c r="K8" s="34" t="s">
        <v>63</v>
      </c>
      <c r="L8" s="34">
        <f>COUNTIFS(DatenGesamt[Anzahl],"&gt;0",DatenGesamt[Operationsart],"Galle",DatenGesamt[Kategorie (Labor, Rad, Lunge, EKG)],"Radiologieleistungen",DatenGesamt[KH],"KH 1")</f>
        <v>20</v>
      </c>
      <c r="M8" s="34">
        <f>COUNTIFS(DatenGesamt[Anzahl],"&gt;0",DatenGesamt[Operationsart],"Galle",DatenGesamt[Kategorie (Labor, Rad, Lunge, EKG)],"Radiologieleistungen",DatenGesamt[KH],"KH 2")</f>
        <v>25</v>
      </c>
      <c r="N8" s="23">
        <f t="shared" si="0"/>
        <v>-5</v>
      </c>
      <c r="O8" s="23">
        <f>COUNTIFS(DatenGesamt[Operationsart],J8,
             DatenGesamt[Kategorie (Labor, Rad, Lunge, EKG)],K8,
             DatenGesamt[KH],"KH 1",
             DatenGesamt[Anzahl],"&gt;0",
             DatenGesamt[AndereKH_Anzahl],"=0")</f>
        <v>9</v>
      </c>
      <c r="P8" s="23">
        <f>COUNTIFS(DatenGesamt[Operationsart],J8,
             DatenGesamt[Kategorie (Labor, Rad, Lunge, EKG)],K8,
             DatenGesamt[KH],"KH 2",
             DatenGesamt[Anzahl],"&gt;0",
             DatenGesamt[AndereKH_Anzahl],"=0")</f>
        <v>14</v>
      </c>
      <c r="Q8" s="24">
        <f>COUNTIFS(DatenGesamt[Operationsart],J8,
             DatenGesamt[Kategorie (Labor, Rad, Lunge, EKG)],K8,
             DatenGesamt[KH],"KH 1",
             DatenGesamt[Anzahl],"&gt;0",
             DatenGesamt[AndereKH_Anzahl],"&gt;0")</f>
        <v>11</v>
      </c>
    </row>
    <row r="9" spans="1:17" x14ac:dyDescent="0.3">
      <c r="A9" s="26" t="s">
        <v>108</v>
      </c>
      <c r="C9">
        <v>225</v>
      </c>
      <c r="D9">
        <v>225</v>
      </c>
      <c r="G9" s="36" t="s">
        <v>133</v>
      </c>
      <c r="H9" s="36" t="s">
        <v>134</v>
      </c>
    </row>
    <row r="10" spans="1:17" x14ac:dyDescent="0.3">
      <c r="A10" s="26" t="s">
        <v>8</v>
      </c>
      <c r="C10">
        <v>70</v>
      </c>
      <c r="D10">
        <v>70</v>
      </c>
      <c r="G10" s="37">
        <f>SUMIF(GalleVergleich[Kategorie],"Laborleistungen",GalleVergleich[Anzahl KH2])</f>
        <v>5313</v>
      </c>
      <c r="H10" s="37">
        <f>SUMIF(GalleVergleich[Kategorie],"Radiologieleistungen",GalleVergleich[Anzahl KH2])</f>
        <v>253</v>
      </c>
    </row>
    <row r="11" spans="1:17" x14ac:dyDescent="0.3">
      <c r="A11" s="2" t="s">
        <v>20</v>
      </c>
      <c r="B11">
        <v>341</v>
      </c>
      <c r="C11">
        <v>295</v>
      </c>
      <c r="D11">
        <v>636</v>
      </c>
    </row>
    <row r="12" spans="1:17" x14ac:dyDescent="0.3">
      <c r="A12" s="26" t="s">
        <v>108</v>
      </c>
      <c r="B12">
        <v>244</v>
      </c>
      <c r="C12">
        <v>225</v>
      </c>
      <c r="D12">
        <v>469</v>
      </c>
    </row>
    <row r="13" spans="1:17" x14ac:dyDescent="0.3">
      <c r="A13" s="26" t="s">
        <v>8</v>
      </c>
      <c r="B13">
        <v>97</v>
      </c>
      <c r="C13">
        <v>70</v>
      </c>
      <c r="D13">
        <v>167</v>
      </c>
    </row>
    <row r="14" spans="1:17" x14ac:dyDescent="0.3">
      <c r="A14" s="2" t="s">
        <v>31</v>
      </c>
      <c r="B14">
        <v>97</v>
      </c>
      <c r="D14">
        <v>97</v>
      </c>
    </row>
    <row r="15" spans="1:17" x14ac:dyDescent="0.3">
      <c r="A15" s="26" t="s">
        <v>108</v>
      </c>
      <c r="B15">
        <v>40</v>
      </c>
      <c r="D15">
        <v>40</v>
      </c>
    </row>
    <row r="16" spans="1:17" x14ac:dyDescent="0.3">
      <c r="A16" s="26" t="s">
        <v>8</v>
      </c>
      <c r="B16">
        <v>57</v>
      </c>
      <c r="D16">
        <v>57</v>
      </c>
    </row>
    <row r="17" spans="1:4" x14ac:dyDescent="0.3">
      <c r="A17" s="2" t="s">
        <v>22</v>
      </c>
      <c r="B17">
        <v>350</v>
      </c>
      <c r="C17">
        <v>295</v>
      </c>
      <c r="D17">
        <v>645</v>
      </c>
    </row>
    <row r="18" spans="1:4" x14ac:dyDescent="0.3">
      <c r="A18" s="26" t="s">
        <v>108</v>
      </c>
      <c r="B18">
        <v>253</v>
      </c>
      <c r="C18">
        <v>225</v>
      </c>
      <c r="D18">
        <v>478</v>
      </c>
    </row>
    <row r="19" spans="1:4" x14ac:dyDescent="0.3">
      <c r="A19" s="26" t="s">
        <v>8</v>
      </c>
      <c r="B19">
        <v>97</v>
      </c>
      <c r="C19">
        <v>70</v>
      </c>
      <c r="D19">
        <v>167</v>
      </c>
    </row>
    <row r="20" spans="1:4" x14ac:dyDescent="0.3">
      <c r="A20" s="2" t="s">
        <v>30</v>
      </c>
      <c r="B20">
        <v>179</v>
      </c>
      <c r="C20">
        <v>75</v>
      </c>
      <c r="D20">
        <v>254</v>
      </c>
    </row>
    <row r="21" spans="1:4" x14ac:dyDescent="0.3">
      <c r="A21" s="26" t="s">
        <v>108</v>
      </c>
      <c r="B21">
        <v>122</v>
      </c>
      <c r="C21">
        <v>75</v>
      </c>
      <c r="D21">
        <v>197</v>
      </c>
    </row>
    <row r="22" spans="1:4" x14ac:dyDescent="0.3">
      <c r="A22" s="26" t="s">
        <v>8</v>
      </c>
      <c r="B22">
        <v>57</v>
      </c>
      <c r="D22">
        <v>57</v>
      </c>
    </row>
    <row r="23" spans="1:4" x14ac:dyDescent="0.3">
      <c r="A23" s="2" t="s">
        <v>93</v>
      </c>
      <c r="B23">
        <v>1</v>
      </c>
      <c r="D23">
        <v>1</v>
      </c>
    </row>
    <row r="24" spans="1:4" x14ac:dyDescent="0.3">
      <c r="A24" s="26" t="s">
        <v>8</v>
      </c>
      <c r="B24">
        <v>1</v>
      </c>
      <c r="D24">
        <v>1</v>
      </c>
    </row>
    <row r="25" spans="1:4" x14ac:dyDescent="0.3">
      <c r="A25" s="2" t="s">
        <v>116</v>
      </c>
      <c r="C25">
        <v>1</v>
      </c>
      <c r="D25">
        <v>1</v>
      </c>
    </row>
    <row r="26" spans="1:4" x14ac:dyDescent="0.3">
      <c r="A26" s="26" t="s">
        <v>108</v>
      </c>
      <c r="C26">
        <v>1</v>
      </c>
      <c r="D26">
        <v>1</v>
      </c>
    </row>
    <row r="27" spans="1:4" x14ac:dyDescent="0.3">
      <c r="A27" s="2" t="s">
        <v>39</v>
      </c>
      <c r="B27">
        <v>11</v>
      </c>
      <c r="D27">
        <v>11</v>
      </c>
    </row>
    <row r="28" spans="1:4" x14ac:dyDescent="0.3">
      <c r="A28" s="26" t="s">
        <v>8</v>
      </c>
      <c r="B28">
        <v>11</v>
      </c>
      <c r="D28">
        <v>11</v>
      </c>
    </row>
    <row r="29" spans="1:4" x14ac:dyDescent="0.3">
      <c r="A29" s="2" t="s">
        <v>24</v>
      </c>
      <c r="B29">
        <v>342</v>
      </c>
      <c r="C29">
        <v>299</v>
      </c>
      <c r="D29">
        <v>641</v>
      </c>
    </row>
    <row r="30" spans="1:4" x14ac:dyDescent="0.3">
      <c r="A30" s="26" t="s">
        <v>108</v>
      </c>
      <c r="B30">
        <v>248</v>
      </c>
      <c r="C30">
        <v>227</v>
      </c>
      <c r="D30">
        <v>475</v>
      </c>
    </row>
    <row r="31" spans="1:4" x14ac:dyDescent="0.3">
      <c r="A31" s="26" t="s">
        <v>8</v>
      </c>
      <c r="B31">
        <v>94</v>
      </c>
      <c r="C31">
        <v>72</v>
      </c>
      <c r="D31">
        <v>166</v>
      </c>
    </row>
    <row r="32" spans="1:4" x14ac:dyDescent="0.3">
      <c r="A32" s="2" t="s">
        <v>6</v>
      </c>
      <c r="B32">
        <v>500</v>
      </c>
      <c r="C32">
        <v>423</v>
      </c>
      <c r="D32">
        <v>923</v>
      </c>
    </row>
    <row r="33" spans="1:4" x14ac:dyDescent="0.3">
      <c r="A33" s="26" t="s">
        <v>108</v>
      </c>
      <c r="B33">
        <v>280</v>
      </c>
      <c r="C33">
        <v>325</v>
      </c>
      <c r="D33">
        <v>605</v>
      </c>
    </row>
    <row r="34" spans="1:4" x14ac:dyDescent="0.3">
      <c r="A34" s="26" t="s">
        <v>8</v>
      </c>
      <c r="B34">
        <v>220</v>
      </c>
      <c r="C34">
        <v>98</v>
      </c>
      <c r="D34">
        <v>318</v>
      </c>
    </row>
    <row r="35" spans="1:4" x14ac:dyDescent="0.3">
      <c r="A35" s="2" t="s">
        <v>58</v>
      </c>
      <c r="C35">
        <v>2</v>
      </c>
      <c r="D35">
        <v>2</v>
      </c>
    </row>
    <row r="36" spans="1:4" x14ac:dyDescent="0.3">
      <c r="A36" s="26" t="s">
        <v>8</v>
      </c>
      <c r="C36">
        <v>2</v>
      </c>
      <c r="D36">
        <v>2</v>
      </c>
    </row>
    <row r="37" spans="1:4" x14ac:dyDescent="0.3">
      <c r="A37" s="2" t="s">
        <v>21</v>
      </c>
      <c r="B37">
        <v>351</v>
      </c>
      <c r="C37">
        <v>295</v>
      </c>
      <c r="D37">
        <v>646</v>
      </c>
    </row>
    <row r="38" spans="1:4" x14ac:dyDescent="0.3">
      <c r="A38" s="26" t="s">
        <v>108</v>
      </c>
      <c r="B38">
        <v>254</v>
      </c>
      <c r="C38">
        <v>225</v>
      </c>
      <c r="D38">
        <v>479</v>
      </c>
    </row>
    <row r="39" spans="1:4" x14ac:dyDescent="0.3">
      <c r="A39" s="26" t="s">
        <v>8</v>
      </c>
      <c r="B39">
        <v>97</v>
      </c>
      <c r="C39">
        <v>70</v>
      </c>
      <c r="D39">
        <v>167</v>
      </c>
    </row>
    <row r="40" spans="1:4" x14ac:dyDescent="0.3">
      <c r="A40" s="2" t="s">
        <v>11</v>
      </c>
      <c r="B40">
        <v>358</v>
      </c>
      <c r="C40">
        <v>411</v>
      </c>
      <c r="D40">
        <v>769</v>
      </c>
    </row>
    <row r="41" spans="1:4" x14ac:dyDescent="0.3">
      <c r="A41" s="26" t="s">
        <v>108</v>
      </c>
      <c r="B41">
        <v>183</v>
      </c>
      <c r="C41">
        <v>314</v>
      </c>
      <c r="D41">
        <v>497</v>
      </c>
    </row>
    <row r="42" spans="1:4" x14ac:dyDescent="0.3">
      <c r="A42" s="26" t="s">
        <v>8</v>
      </c>
      <c r="B42">
        <v>175</v>
      </c>
      <c r="C42">
        <v>97</v>
      </c>
      <c r="D42">
        <v>272</v>
      </c>
    </row>
    <row r="43" spans="1:4" x14ac:dyDescent="0.3">
      <c r="A43" s="2" t="s">
        <v>12</v>
      </c>
      <c r="B43">
        <v>425</v>
      </c>
      <c r="C43">
        <v>303</v>
      </c>
      <c r="D43">
        <v>728</v>
      </c>
    </row>
    <row r="44" spans="1:4" x14ac:dyDescent="0.3">
      <c r="A44" s="26" t="s">
        <v>108</v>
      </c>
      <c r="B44">
        <v>270</v>
      </c>
      <c r="C44">
        <v>231</v>
      </c>
      <c r="D44">
        <v>501</v>
      </c>
    </row>
    <row r="45" spans="1:4" x14ac:dyDescent="0.3">
      <c r="A45" s="26" t="s">
        <v>8</v>
      </c>
      <c r="B45">
        <v>155</v>
      </c>
      <c r="C45">
        <v>72</v>
      </c>
      <c r="D45">
        <v>227</v>
      </c>
    </row>
    <row r="46" spans="1:4" x14ac:dyDescent="0.3">
      <c r="A46" s="2" t="s">
        <v>52</v>
      </c>
      <c r="C46">
        <v>25</v>
      </c>
      <c r="D46">
        <v>25</v>
      </c>
    </row>
    <row r="47" spans="1:4" x14ac:dyDescent="0.3">
      <c r="A47" s="26" t="s">
        <v>108</v>
      </c>
      <c r="C47">
        <v>13</v>
      </c>
      <c r="D47">
        <v>13</v>
      </c>
    </row>
    <row r="48" spans="1:4" x14ac:dyDescent="0.3">
      <c r="A48" s="26" t="s">
        <v>8</v>
      </c>
      <c r="C48">
        <v>12</v>
      </c>
      <c r="D48">
        <v>12</v>
      </c>
    </row>
    <row r="49" spans="1:4" x14ac:dyDescent="0.3">
      <c r="A49" s="2" t="s">
        <v>54</v>
      </c>
      <c r="B49">
        <v>51</v>
      </c>
      <c r="C49">
        <v>69</v>
      </c>
      <c r="D49">
        <v>120</v>
      </c>
    </row>
    <row r="50" spans="1:4" x14ac:dyDescent="0.3">
      <c r="A50" s="26" t="s">
        <v>108</v>
      </c>
      <c r="B50">
        <v>51</v>
      </c>
      <c r="C50">
        <v>61</v>
      </c>
      <c r="D50">
        <v>112</v>
      </c>
    </row>
    <row r="51" spans="1:4" x14ac:dyDescent="0.3">
      <c r="A51" s="26" t="s">
        <v>8</v>
      </c>
      <c r="C51">
        <v>8</v>
      </c>
      <c r="D51">
        <v>8</v>
      </c>
    </row>
    <row r="52" spans="1:4" x14ac:dyDescent="0.3">
      <c r="A52" s="2" t="s">
        <v>55</v>
      </c>
      <c r="B52">
        <v>21</v>
      </c>
      <c r="C52">
        <v>68</v>
      </c>
      <c r="D52">
        <v>89</v>
      </c>
    </row>
    <row r="53" spans="1:4" x14ac:dyDescent="0.3">
      <c r="A53" s="26" t="s">
        <v>108</v>
      </c>
      <c r="B53">
        <v>21</v>
      </c>
      <c r="C53">
        <v>60</v>
      </c>
      <c r="D53">
        <v>81</v>
      </c>
    </row>
    <row r="54" spans="1:4" x14ac:dyDescent="0.3">
      <c r="A54" s="26" t="s">
        <v>8</v>
      </c>
      <c r="C54">
        <v>8</v>
      </c>
      <c r="D54">
        <v>8</v>
      </c>
    </row>
    <row r="55" spans="1:4" x14ac:dyDescent="0.3">
      <c r="A55" s="2" t="s">
        <v>45</v>
      </c>
      <c r="B55">
        <v>60</v>
      </c>
      <c r="C55">
        <v>82</v>
      </c>
      <c r="D55">
        <v>142</v>
      </c>
    </row>
    <row r="56" spans="1:4" x14ac:dyDescent="0.3">
      <c r="A56" s="26" t="s">
        <v>108</v>
      </c>
      <c r="B56">
        <v>51</v>
      </c>
      <c r="C56">
        <v>82</v>
      </c>
      <c r="D56">
        <v>133</v>
      </c>
    </row>
    <row r="57" spans="1:4" x14ac:dyDescent="0.3">
      <c r="A57" s="26" t="s">
        <v>8</v>
      </c>
      <c r="B57">
        <v>9</v>
      </c>
      <c r="D57">
        <v>9</v>
      </c>
    </row>
    <row r="58" spans="1:4" x14ac:dyDescent="0.3">
      <c r="A58" s="2" t="s">
        <v>110</v>
      </c>
      <c r="B58">
        <v>19</v>
      </c>
      <c r="C58">
        <v>43</v>
      </c>
      <c r="D58">
        <v>62</v>
      </c>
    </row>
    <row r="59" spans="1:4" x14ac:dyDescent="0.3">
      <c r="A59" s="26" t="s">
        <v>108</v>
      </c>
      <c r="B59">
        <v>19</v>
      </c>
      <c r="C59">
        <v>43</v>
      </c>
      <c r="D59">
        <v>62</v>
      </c>
    </row>
    <row r="60" spans="1:4" x14ac:dyDescent="0.3">
      <c r="A60" s="2" t="s">
        <v>109</v>
      </c>
      <c r="B60">
        <v>22</v>
      </c>
      <c r="C60">
        <v>44</v>
      </c>
      <c r="D60">
        <v>66</v>
      </c>
    </row>
    <row r="61" spans="1:4" x14ac:dyDescent="0.3">
      <c r="A61" s="26" t="s">
        <v>108</v>
      </c>
      <c r="B61">
        <v>22</v>
      </c>
      <c r="C61">
        <v>44</v>
      </c>
      <c r="D61">
        <v>66</v>
      </c>
    </row>
    <row r="62" spans="1:4" x14ac:dyDescent="0.3">
      <c r="A62" s="2" t="s">
        <v>57</v>
      </c>
      <c r="B62">
        <v>15</v>
      </c>
      <c r="C62">
        <v>33</v>
      </c>
      <c r="D62">
        <v>48</v>
      </c>
    </row>
    <row r="63" spans="1:4" x14ac:dyDescent="0.3">
      <c r="A63" s="26" t="s">
        <v>108</v>
      </c>
      <c r="B63">
        <v>15</v>
      </c>
      <c r="C63">
        <v>30</v>
      </c>
      <c r="D63">
        <v>45</v>
      </c>
    </row>
    <row r="64" spans="1:4" x14ac:dyDescent="0.3">
      <c r="A64" s="26" t="s">
        <v>8</v>
      </c>
      <c r="C64">
        <v>3</v>
      </c>
      <c r="D64">
        <v>3</v>
      </c>
    </row>
    <row r="65" spans="1:4" x14ac:dyDescent="0.3">
      <c r="A65" s="2" t="s">
        <v>112</v>
      </c>
      <c r="C65">
        <v>20</v>
      </c>
      <c r="D65">
        <v>20</v>
      </c>
    </row>
    <row r="66" spans="1:4" x14ac:dyDescent="0.3">
      <c r="A66" s="26" t="s">
        <v>108</v>
      </c>
      <c r="C66">
        <v>20</v>
      </c>
      <c r="D66">
        <v>20</v>
      </c>
    </row>
    <row r="67" spans="1:4" x14ac:dyDescent="0.3">
      <c r="A67" s="2" t="s">
        <v>34</v>
      </c>
      <c r="B67">
        <v>141</v>
      </c>
      <c r="C67">
        <v>423</v>
      </c>
      <c r="D67">
        <v>564</v>
      </c>
    </row>
    <row r="68" spans="1:4" x14ac:dyDescent="0.3">
      <c r="A68" s="26" t="s">
        <v>108</v>
      </c>
      <c r="B68">
        <v>91</v>
      </c>
      <c r="C68">
        <v>325</v>
      </c>
      <c r="D68">
        <v>416</v>
      </c>
    </row>
    <row r="69" spans="1:4" x14ac:dyDescent="0.3">
      <c r="A69" s="26" t="s">
        <v>8</v>
      </c>
      <c r="B69">
        <v>50</v>
      </c>
      <c r="C69">
        <v>98</v>
      </c>
      <c r="D69">
        <v>148</v>
      </c>
    </row>
    <row r="70" spans="1:4" x14ac:dyDescent="0.3">
      <c r="A70" s="2" t="s">
        <v>36</v>
      </c>
      <c r="B70">
        <v>47</v>
      </c>
      <c r="C70">
        <v>216</v>
      </c>
      <c r="D70">
        <v>263</v>
      </c>
    </row>
    <row r="71" spans="1:4" x14ac:dyDescent="0.3">
      <c r="A71" s="26" t="s">
        <v>108</v>
      </c>
      <c r="B71">
        <v>18</v>
      </c>
      <c r="C71">
        <v>121</v>
      </c>
      <c r="D71">
        <v>139</v>
      </c>
    </row>
    <row r="72" spans="1:4" x14ac:dyDescent="0.3">
      <c r="A72" s="26" t="s">
        <v>8</v>
      </c>
      <c r="B72">
        <v>29</v>
      </c>
      <c r="C72">
        <v>95</v>
      </c>
      <c r="D72">
        <v>124</v>
      </c>
    </row>
    <row r="73" spans="1:4" x14ac:dyDescent="0.3">
      <c r="A73" s="2" t="s">
        <v>16</v>
      </c>
      <c r="B73">
        <v>273</v>
      </c>
      <c r="C73">
        <v>190</v>
      </c>
      <c r="D73">
        <v>463</v>
      </c>
    </row>
    <row r="74" spans="1:4" x14ac:dyDescent="0.3">
      <c r="A74" s="26" t="s">
        <v>108</v>
      </c>
      <c r="B74">
        <v>162</v>
      </c>
      <c r="C74">
        <v>117</v>
      </c>
      <c r="D74">
        <v>279</v>
      </c>
    </row>
    <row r="75" spans="1:4" x14ac:dyDescent="0.3">
      <c r="A75" s="26" t="s">
        <v>8</v>
      </c>
      <c r="B75">
        <v>111</v>
      </c>
      <c r="C75">
        <v>73</v>
      </c>
      <c r="D75">
        <v>184</v>
      </c>
    </row>
    <row r="76" spans="1:4" x14ac:dyDescent="0.3">
      <c r="A76" s="2" t="s">
        <v>64</v>
      </c>
      <c r="B76">
        <v>26</v>
      </c>
      <c r="C76">
        <v>13</v>
      </c>
      <c r="D76">
        <v>39</v>
      </c>
    </row>
    <row r="77" spans="1:4" x14ac:dyDescent="0.3">
      <c r="A77" s="26" t="s">
        <v>108</v>
      </c>
      <c r="B77">
        <v>14</v>
      </c>
      <c r="C77">
        <v>11</v>
      </c>
      <c r="D77">
        <v>25</v>
      </c>
    </row>
    <row r="78" spans="1:4" x14ac:dyDescent="0.3">
      <c r="A78" s="26" t="s">
        <v>8</v>
      </c>
      <c r="B78">
        <v>12</v>
      </c>
      <c r="C78">
        <v>2</v>
      </c>
      <c r="D78">
        <v>14</v>
      </c>
    </row>
    <row r="79" spans="1:4" x14ac:dyDescent="0.3">
      <c r="A79" s="2" t="s">
        <v>77</v>
      </c>
      <c r="B79">
        <v>18</v>
      </c>
      <c r="C79">
        <v>10</v>
      </c>
      <c r="D79">
        <v>28</v>
      </c>
    </row>
    <row r="80" spans="1:4" x14ac:dyDescent="0.3">
      <c r="A80" s="26" t="s">
        <v>108</v>
      </c>
      <c r="B80">
        <v>14</v>
      </c>
      <c r="C80">
        <v>9</v>
      </c>
      <c r="D80">
        <v>23</v>
      </c>
    </row>
    <row r="81" spans="1:4" x14ac:dyDescent="0.3">
      <c r="A81" s="26" t="s">
        <v>8</v>
      </c>
      <c r="B81">
        <v>4</v>
      </c>
      <c r="C81">
        <v>1</v>
      </c>
      <c r="D81">
        <v>5</v>
      </c>
    </row>
    <row r="82" spans="1:4" x14ac:dyDescent="0.3">
      <c r="A82" s="2" t="s">
        <v>65</v>
      </c>
      <c r="B82">
        <v>6</v>
      </c>
      <c r="C82">
        <v>2</v>
      </c>
      <c r="D82">
        <v>8</v>
      </c>
    </row>
    <row r="83" spans="1:4" x14ac:dyDescent="0.3">
      <c r="A83" s="26" t="s">
        <v>108</v>
      </c>
      <c r="C83">
        <v>2</v>
      </c>
      <c r="D83">
        <v>2</v>
      </c>
    </row>
    <row r="84" spans="1:4" x14ac:dyDescent="0.3">
      <c r="A84" s="26" t="s">
        <v>8</v>
      </c>
      <c r="B84">
        <v>6</v>
      </c>
      <c r="D84">
        <v>6</v>
      </c>
    </row>
    <row r="85" spans="1:4" x14ac:dyDescent="0.3">
      <c r="A85" s="2" t="s">
        <v>70</v>
      </c>
      <c r="B85">
        <v>6</v>
      </c>
      <c r="C85">
        <v>2</v>
      </c>
      <c r="D85">
        <v>8</v>
      </c>
    </row>
    <row r="86" spans="1:4" x14ac:dyDescent="0.3">
      <c r="A86" s="26" t="s">
        <v>108</v>
      </c>
      <c r="C86">
        <v>2</v>
      </c>
      <c r="D86">
        <v>2</v>
      </c>
    </row>
    <row r="87" spans="1:4" x14ac:dyDescent="0.3">
      <c r="A87" s="26" t="s">
        <v>8</v>
      </c>
      <c r="B87">
        <v>6</v>
      </c>
      <c r="D87">
        <v>6</v>
      </c>
    </row>
    <row r="88" spans="1:4" x14ac:dyDescent="0.3">
      <c r="A88" s="2" t="s">
        <v>69</v>
      </c>
      <c r="B88">
        <v>18</v>
      </c>
      <c r="C88">
        <v>8</v>
      </c>
      <c r="D88">
        <v>26</v>
      </c>
    </row>
    <row r="89" spans="1:4" x14ac:dyDescent="0.3">
      <c r="A89" s="26" t="s">
        <v>108</v>
      </c>
      <c r="B89">
        <v>12</v>
      </c>
      <c r="C89">
        <v>7</v>
      </c>
      <c r="D89">
        <v>19</v>
      </c>
    </row>
    <row r="90" spans="1:4" x14ac:dyDescent="0.3">
      <c r="A90" s="26" t="s">
        <v>8</v>
      </c>
      <c r="B90">
        <v>6</v>
      </c>
      <c r="C90">
        <v>1</v>
      </c>
      <c r="D90">
        <v>7</v>
      </c>
    </row>
    <row r="91" spans="1:4" x14ac:dyDescent="0.3">
      <c r="A91" s="2" t="s">
        <v>83</v>
      </c>
      <c r="B91">
        <v>2</v>
      </c>
      <c r="D91">
        <v>2</v>
      </c>
    </row>
    <row r="92" spans="1:4" x14ac:dyDescent="0.3">
      <c r="A92" s="26" t="s">
        <v>8</v>
      </c>
      <c r="B92">
        <v>2</v>
      </c>
      <c r="D92">
        <v>2</v>
      </c>
    </row>
    <row r="93" spans="1:4" x14ac:dyDescent="0.3">
      <c r="A93" s="2" t="s">
        <v>66</v>
      </c>
      <c r="B93">
        <v>6</v>
      </c>
      <c r="C93">
        <v>2</v>
      </c>
      <c r="D93">
        <v>8</v>
      </c>
    </row>
    <row r="94" spans="1:4" x14ac:dyDescent="0.3">
      <c r="A94" s="26" t="s">
        <v>108</v>
      </c>
      <c r="C94">
        <v>2</v>
      </c>
      <c r="D94">
        <v>2</v>
      </c>
    </row>
    <row r="95" spans="1:4" x14ac:dyDescent="0.3">
      <c r="A95" s="26" t="s">
        <v>8</v>
      </c>
      <c r="B95">
        <v>6</v>
      </c>
      <c r="D95">
        <v>6</v>
      </c>
    </row>
    <row r="96" spans="1:4" x14ac:dyDescent="0.3">
      <c r="A96" s="2" t="s">
        <v>96</v>
      </c>
      <c r="C96">
        <v>1</v>
      </c>
      <c r="D96">
        <v>1</v>
      </c>
    </row>
    <row r="97" spans="1:4" x14ac:dyDescent="0.3">
      <c r="A97" s="26" t="s">
        <v>8</v>
      </c>
      <c r="C97">
        <v>1</v>
      </c>
      <c r="D97">
        <v>1</v>
      </c>
    </row>
    <row r="98" spans="1:4" x14ac:dyDescent="0.3">
      <c r="A98" s="2" t="s">
        <v>113</v>
      </c>
      <c r="C98">
        <v>4</v>
      </c>
      <c r="D98">
        <v>4</v>
      </c>
    </row>
    <row r="99" spans="1:4" x14ac:dyDescent="0.3">
      <c r="A99" s="26" t="s">
        <v>108</v>
      </c>
      <c r="C99">
        <v>4</v>
      </c>
      <c r="D99">
        <v>4</v>
      </c>
    </row>
    <row r="100" spans="1:4" x14ac:dyDescent="0.3">
      <c r="A100" s="2" t="s">
        <v>123</v>
      </c>
      <c r="B100">
        <v>1</v>
      </c>
      <c r="D100">
        <v>1</v>
      </c>
    </row>
    <row r="101" spans="1:4" x14ac:dyDescent="0.3">
      <c r="A101" s="26" t="s">
        <v>108</v>
      </c>
      <c r="B101">
        <v>1</v>
      </c>
      <c r="D101">
        <v>1</v>
      </c>
    </row>
    <row r="102" spans="1:4" x14ac:dyDescent="0.3">
      <c r="A102" s="2" t="s">
        <v>111</v>
      </c>
      <c r="B102">
        <v>19</v>
      </c>
      <c r="C102">
        <v>43</v>
      </c>
      <c r="D102">
        <v>62</v>
      </c>
    </row>
    <row r="103" spans="1:4" x14ac:dyDescent="0.3">
      <c r="A103" s="26" t="s">
        <v>108</v>
      </c>
      <c r="B103">
        <v>19</v>
      </c>
      <c r="C103">
        <v>43</v>
      </c>
      <c r="D103">
        <v>62</v>
      </c>
    </row>
    <row r="104" spans="1:4" x14ac:dyDescent="0.3">
      <c r="A104" s="2" t="s">
        <v>33</v>
      </c>
      <c r="B104">
        <v>74</v>
      </c>
      <c r="D104">
        <v>74</v>
      </c>
    </row>
    <row r="105" spans="1:4" x14ac:dyDescent="0.3">
      <c r="A105" s="26" t="s">
        <v>108</v>
      </c>
      <c r="B105">
        <v>17</v>
      </c>
      <c r="D105">
        <v>17</v>
      </c>
    </row>
    <row r="106" spans="1:4" x14ac:dyDescent="0.3">
      <c r="A106" s="26" t="s">
        <v>8</v>
      </c>
      <c r="B106">
        <v>57</v>
      </c>
      <c r="D106">
        <v>57</v>
      </c>
    </row>
    <row r="107" spans="1:4" x14ac:dyDescent="0.3">
      <c r="A107" s="2" t="s">
        <v>51</v>
      </c>
      <c r="C107">
        <v>25</v>
      </c>
      <c r="D107">
        <v>25</v>
      </c>
    </row>
    <row r="108" spans="1:4" x14ac:dyDescent="0.3">
      <c r="A108" s="26" t="s">
        <v>108</v>
      </c>
      <c r="C108">
        <v>13</v>
      </c>
      <c r="D108">
        <v>13</v>
      </c>
    </row>
    <row r="109" spans="1:4" x14ac:dyDescent="0.3">
      <c r="A109" s="26" t="s">
        <v>8</v>
      </c>
      <c r="C109">
        <v>12</v>
      </c>
      <c r="D109">
        <v>12</v>
      </c>
    </row>
    <row r="110" spans="1:4" x14ac:dyDescent="0.3">
      <c r="A110" s="2" t="s">
        <v>23</v>
      </c>
      <c r="B110">
        <v>350</v>
      </c>
      <c r="C110">
        <v>296</v>
      </c>
      <c r="D110">
        <v>646</v>
      </c>
    </row>
    <row r="111" spans="1:4" x14ac:dyDescent="0.3">
      <c r="A111" s="26" t="s">
        <v>108</v>
      </c>
      <c r="B111">
        <v>253</v>
      </c>
      <c r="C111">
        <v>226</v>
      </c>
      <c r="D111">
        <v>479</v>
      </c>
    </row>
    <row r="112" spans="1:4" x14ac:dyDescent="0.3">
      <c r="A112" s="26" t="s">
        <v>8</v>
      </c>
      <c r="B112">
        <v>97</v>
      </c>
      <c r="C112">
        <v>70</v>
      </c>
      <c r="D112">
        <v>167</v>
      </c>
    </row>
    <row r="113" spans="1:4" x14ac:dyDescent="0.3">
      <c r="A113" s="2" t="s">
        <v>28</v>
      </c>
      <c r="B113">
        <v>109</v>
      </c>
      <c r="C113">
        <v>128</v>
      </c>
      <c r="D113">
        <v>237</v>
      </c>
    </row>
    <row r="114" spans="1:4" x14ac:dyDescent="0.3">
      <c r="A114" s="26" t="s">
        <v>108</v>
      </c>
      <c r="B114">
        <v>44</v>
      </c>
      <c r="C114">
        <v>125</v>
      </c>
      <c r="D114">
        <v>169</v>
      </c>
    </row>
    <row r="115" spans="1:4" x14ac:dyDescent="0.3">
      <c r="A115" s="26" t="s">
        <v>8</v>
      </c>
      <c r="B115">
        <v>65</v>
      </c>
      <c r="C115">
        <v>3</v>
      </c>
      <c r="D115">
        <v>68</v>
      </c>
    </row>
    <row r="116" spans="1:4" x14ac:dyDescent="0.3">
      <c r="A116" s="2" t="s">
        <v>15</v>
      </c>
      <c r="B116">
        <v>284</v>
      </c>
      <c r="C116">
        <v>186</v>
      </c>
      <c r="D116">
        <v>470</v>
      </c>
    </row>
    <row r="117" spans="1:4" x14ac:dyDescent="0.3">
      <c r="A117" s="26" t="s">
        <v>108</v>
      </c>
      <c r="B117">
        <v>170</v>
      </c>
      <c r="C117">
        <v>114</v>
      </c>
      <c r="D117">
        <v>284</v>
      </c>
    </row>
    <row r="118" spans="1:4" x14ac:dyDescent="0.3">
      <c r="A118" s="26" t="s">
        <v>8</v>
      </c>
      <c r="B118">
        <v>114</v>
      </c>
      <c r="C118">
        <v>72</v>
      </c>
      <c r="D118">
        <v>186</v>
      </c>
    </row>
    <row r="119" spans="1:4" x14ac:dyDescent="0.3">
      <c r="A119" s="2" t="s">
        <v>41</v>
      </c>
      <c r="B119">
        <v>36</v>
      </c>
      <c r="C119">
        <v>177</v>
      </c>
      <c r="D119">
        <v>213</v>
      </c>
    </row>
    <row r="120" spans="1:4" x14ac:dyDescent="0.3">
      <c r="A120" s="26" t="s">
        <v>108</v>
      </c>
      <c r="B120">
        <v>26</v>
      </c>
      <c r="C120">
        <v>110</v>
      </c>
      <c r="D120">
        <v>136</v>
      </c>
    </row>
    <row r="121" spans="1:4" x14ac:dyDescent="0.3">
      <c r="A121" s="26" t="s">
        <v>8</v>
      </c>
      <c r="B121">
        <v>10</v>
      </c>
      <c r="C121">
        <v>67</v>
      </c>
      <c r="D121">
        <v>77</v>
      </c>
    </row>
    <row r="122" spans="1:4" x14ac:dyDescent="0.3">
      <c r="A122" s="2" t="s">
        <v>56</v>
      </c>
      <c r="C122">
        <v>4</v>
      </c>
      <c r="D122">
        <v>4</v>
      </c>
    </row>
    <row r="123" spans="1:4" x14ac:dyDescent="0.3">
      <c r="A123" s="26" t="s">
        <v>8</v>
      </c>
      <c r="C123">
        <v>4</v>
      </c>
      <c r="D123">
        <v>4</v>
      </c>
    </row>
    <row r="124" spans="1:4" x14ac:dyDescent="0.3">
      <c r="A124" s="2" t="s">
        <v>53</v>
      </c>
      <c r="C124">
        <v>10</v>
      </c>
      <c r="D124">
        <v>10</v>
      </c>
    </row>
    <row r="125" spans="1:4" x14ac:dyDescent="0.3">
      <c r="A125" s="26" t="s">
        <v>8</v>
      </c>
      <c r="C125">
        <v>10</v>
      </c>
      <c r="D125">
        <v>10</v>
      </c>
    </row>
    <row r="126" spans="1:4" x14ac:dyDescent="0.3">
      <c r="A126" s="2" t="s">
        <v>38</v>
      </c>
      <c r="B126">
        <v>58</v>
      </c>
      <c r="C126">
        <v>2</v>
      </c>
      <c r="D126">
        <v>60</v>
      </c>
    </row>
    <row r="127" spans="1:4" x14ac:dyDescent="0.3">
      <c r="A127" s="26" t="s">
        <v>108</v>
      </c>
      <c r="B127">
        <v>38</v>
      </c>
      <c r="D127">
        <v>38</v>
      </c>
    </row>
    <row r="128" spans="1:4" x14ac:dyDescent="0.3">
      <c r="A128" s="26" t="s">
        <v>8</v>
      </c>
      <c r="B128">
        <v>20</v>
      </c>
      <c r="C128">
        <v>2</v>
      </c>
      <c r="D128">
        <v>22</v>
      </c>
    </row>
    <row r="129" spans="1:4" x14ac:dyDescent="0.3">
      <c r="A129" s="2" t="s">
        <v>46</v>
      </c>
      <c r="B129">
        <v>25</v>
      </c>
      <c r="D129">
        <v>25</v>
      </c>
    </row>
    <row r="130" spans="1:4" x14ac:dyDescent="0.3">
      <c r="A130" s="26" t="s">
        <v>108</v>
      </c>
      <c r="B130">
        <v>16</v>
      </c>
      <c r="D130">
        <v>16</v>
      </c>
    </row>
    <row r="131" spans="1:4" x14ac:dyDescent="0.3">
      <c r="A131" s="26" t="s">
        <v>8</v>
      </c>
      <c r="B131">
        <v>9</v>
      </c>
      <c r="D131">
        <v>9</v>
      </c>
    </row>
    <row r="132" spans="1:4" x14ac:dyDescent="0.3">
      <c r="A132" s="2" t="s">
        <v>35</v>
      </c>
      <c r="B132">
        <v>167</v>
      </c>
      <c r="C132">
        <v>187</v>
      </c>
      <c r="D132">
        <v>354</v>
      </c>
    </row>
    <row r="133" spans="1:4" x14ac:dyDescent="0.3">
      <c r="A133" s="26" t="s">
        <v>108</v>
      </c>
      <c r="B133">
        <v>119</v>
      </c>
      <c r="C133">
        <v>115</v>
      </c>
      <c r="D133">
        <v>234</v>
      </c>
    </row>
    <row r="134" spans="1:4" x14ac:dyDescent="0.3">
      <c r="A134" s="26" t="s">
        <v>8</v>
      </c>
      <c r="B134">
        <v>48</v>
      </c>
      <c r="C134">
        <v>72</v>
      </c>
      <c r="D134">
        <v>120</v>
      </c>
    </row>
    <row r="135" spans="1:4" x14ac:dyDescent="0.3">
      <c r="A135" s="2" t="s">
        <v>29</v>
      </c>
      <c r="B135">
        <v>98</v>
      </c>
      <c r="C135">
        <v>162</v>
      </c>
      <c r="D135">
        <v>260</v>
      </c>
    </row>
    <row r="136" spans="1:4" x14ac:dyDescent="0.3">
      <c r="A136" s="26" t="s">
        <v>108</v>
      </c>
      <c r="B136">
        <v>41</v>
      </c>
      <c r="C136">
        <v>74</v>
      </c>
      <c r="D136">
        <v>115</v>
      </c>
    </row>
    <row r="137" spans="1:4" x14ac:dyDescent="0.3">
      <c r="A137" s="26" t="s">
        <v>8</v>
      </c>
      <c r="B137">
        <v>57</v>
      </c>
      <c r="C137">
        <v>88</v>
      </c>
      <c r="D137">
        <v>145</v>
      </c>
    </row>
    <row r="138" spans="1:4" x14ac:dyDescent="0.3">
      <c r="A138" s="2" t="s">
        <v>61</v>
      </c>
      <c r="C138">
        <v>2</v>
      </c>
      <c r="D138">
        <v>2</v>
      </c>
    </row>
    <row r="139" spans="1:4" x14ac:dyDescent="0.3">
      <c r="A139" s="26" t="s">
        <v>8</v>
      </c>
      <c r="C139">
        <v>2</v>
      </c>
      <c r="D139">
        <v>2</v>
      </c>
    </row>
    <row r="140" spans="1:4" x14ac:dyDescent="0.3">
      <c r="A140" s="2" t="s">
        <v>19</v>
      </c>
      <c r="B140">
        <v>254</v>
      </c>
      <c r="C140">
        <v>192</v>
      </c>
      <c r="D140">
        <v>446</v>
      </c>
    </row>
    <row r="141" spans="1:4" x14ac:dyDescent="0.3">
      <c r="A141" s="26" t="s">
        <v>108</v>
      </c>
      <c r="B141">
        <v>152</v>
      </c>
      <c r="C141">
        <v>118</v>
      </c>
      <c r="D141">
        <v>270</v>
      </c>
    </row>
    <row r="142" spans="1:4" x14ac:dyDescent="0.3">
      <c r="A142" s="26" t="s">
        <v>8</v>
      </c>
      <c r="B142">
        <v>102</v>
      </c>
      <c r="C142">
        <v>74</v>
      </c>
      <c r="D142">
        <v>176</v>
      </c>
    </row>
    <row r="143" spans="1:4" x14ac:dyDescent="0.3">
      <c r="A143" s="2" t="s">
        <v>17</v>
      </c>
      <c r="B143">
        <v>273</v>
      </c>
      <c r="C143">
        <v>190</v>
      </c>
      <c r="D143">
        <v>463</v>
      </c>
    </row>
    <row r="144" spans="1:4" x14ac:dyDescent="0.3">
      <c r="A144" s="26" t="s">
        <v>108</v>
      </c>
      <c r="B144">
        <v>162</v>
      </c>
      <c r="C144">
        <v>117</v>
      </c>
      <c r="D144">
        <v>279</v>
      </c>
    </row>
    <row r="145" spans="1:4" x14ac:dyDescent="0.3">
      <c r="A145" s="26" t="s">
        <v>8</v>
      </c>
      <c r="B145">
        <v>111</v>
      </c>
      <c r="C145">
        <v>73</v>
      </c>
      <c r="D145">
        <v>184</v>
      </c>
    </row>
    <row r="146" spans="1:4" x14ac:dyDescent="0.3">
      <c r="A146" s="2" t="s">
        <v>14</v>
      </c>
      <c r="B146">
        <v>284</v>
      </c>
      <c r="C146">
        <v>187</v>
      </c>
      <c r="D146">
        <v>471</v>
      </c>
    </row>
    <row r="147" spans="1:4" x14ac:dyDescent="0.3">
      <c r="A147" s="26" t="s">
        <v>108</v>
      </c>
      <c r="B147">
        <v>170</v>
      </c>
      <c r="C147">
        <v>115</v>
      </c>
      <c r="D147">
        <v>285</v>
      </c>
    </row>
    <row r="148" spans="1:4" x14ac:dyDescent="0.3">
      <c r="A148" s="26" t="s">
        <v>8</v>
      </c>
      <c r="B148">
        <v>114</v>
      </c>
      <c r="C148">
        <v>72</v>
      </c>
      <c r="D148">
        <v>186</v>
      </c>
    </row>
    <row r="149" spans="1:4" x14ac:dyDescent="0.3">
      <c r="A149" s="2" t="s">
        <v>37</v>
      </c>
      <c r="B149">
        <v>20</v>
      </c>
      <c r="C149">
        <v>3</v>
      </c>
      <c r="D149">
        <v>23</v>
      </c>
    </row>
    <row r="150" spans="1:4" x14ac:dyDescent="0.3">
      <c r="A150" s="26" t="s">
        <v>8</v>
      </c>
      <c r="B150">
        <v>20</v>
      </c>
      <c r="C150">
        <v>3</v>
      </c>
      <c r="D150">
        <v>23</v>
      </c>
    </row>
    <row r="151" spans="1:4" x14ac:dyDescent="0.3">
      <c r="A151" s="2" t="s">
        <v>25</v>
      </c>
      <c r="B151">
        <v>336</v>
      </c>
      <c r="C151">
        <v>299</v>
      </c>
      <c r="D151">
        <v>635</v>
      </c>
    </row>
    <row r="152" spans="1:4" x14ac:dyDescent="0.3">
      <c r="A152" s="26" t="s">
        <v>108</v>
      </c>
      <c r="B152">
        <v>242</v>
      </c>
      <c r="C152">
        <v>227</v>
      </c>
      <c r="D152">
        <v>469</v>
      </c>
    </row>
    <row r="153" spans="1:4" x14ac:dyDescent="0.3">
      <c r="A153" s="26" t="s">
        <v>8</v>
      </c>
      <c r="B153">
        <v>94</v>
      </c>
      <c r="C153">
        <v>72</v>
      </c>
      <c r="D153">
        <v>166</v>
      </c>
    </row>
    <row r="154" spans="1:4" x14ac:dyDescent="0.3">
      <c r="A154" s="2" t="s">
        <v>32</v>
      </c>
      <c r="B154">
        <v>179</v>
      </c>
      <c r="C154">
        <v>74</v>
      </c>
      <c r="D154">
        <v>253</v>
      </c>
    </row>
    <row r="155" spans="1:4" x14ac:dyDescent="0.3">
      <c r="A155" s="26" t="s">
        <v>108</v>
      </c>
      <c r="B155">
        <v>122</v>
      </c>
      <c r="C155">
        <v>74</v>
      </c>
      <c r="D155">
        <v>196</v>
      </c>
    </row>
    <row r="156" spans="1:4" x14ac:dyDescent="0.3">
      <c r="A156" s="26" t="s">
        <v>8</v>
      </c>
      <c r="B156">
        <v>57</v>
      </c>
      <c r="D156">
        <v>57</v>
      </c>
    </row>
    <row r="157" spans="1:4" x14ac:dyDescent="0.3">
      <c r="A157" s="2" t="s">
        <v>60</v>
      </c>
      <c r="C157">
        <v>2</v>
      </c>
      <c r="D157">
        <v>2</v>
      </c>
    </row>
    <row r="158" spans="1:4" x14ac:dyDescent="0.3">
      <c r="A158" s="26" t="s">
        <v>8</v>
      </c>
      <c r="C158">
        <v>2</v>
      </c>
      <c r="D158">
        <v>2</v>
      </c>
    </row>
    <row r="159" spans="1:4" x14ac:dyDescent="0.3">
      <c r="A159" s="2" t="s">
        <v>124</v>
      </c>
      <c r="B159">
        <v>1</v>
      </c>
      <c r="D159">
        <v>1</v>
      </c>
    </row>
    <row r="160" spans="1:4" x14ac:dyDescent="0.3">
      <c r="A160" s="26" t="s">
        <v>108</v>
      </c>
      <c r="B160">
        <v>1</v>
      </c>
      <c r="D160">
        <v>1</v>
      </c>
    </row>
    <row r="161" spans="1:4" x14ac:dyDescent="0.3">
      <c r="A161" s="2" t="s">
        <v>122</v>
      </c>
      <c r="B161">
        <v>1</v>
      </c>
      <c r="D161">
        <v>1</v>
      </c>
    </row>
    <row r="162" spans="1:4" x14ac:dyDescent="0.3">
      <c r="A162" s="26" t="s">
        <v>108</v>
      </c>
      <c r="B162">
        <v>1</v>
      </c>
      <c r="D162">
        <v>1</v>
      </c>
    </row>
    <row r="163" spans="1:4" x14ac:dyDescent="0.3">
      <c r="A163" s="2" t="s">
        <v>121</v>
      </c>
      <c r="B163">
        <v>4</v>
      </c>
      <c r="D163">
        <v>4</v>
      </c>
    </row>
    <row r="164" spans="1:4" x14ac:dyDescent="0.3">
      <c r="A164" s="26" t="s">
        <v>108</v>
      </c>
      <c r="B164">
        <v>4</v>
      </c>
      <c r="D164">
        <v>4</v>
      </c>
    </row>
    <row r="165" spans="1:4" x14ac:dyDescent="0.3">
      <c r="A165" s="2" t="s">
        <v>90</v>
      </c>
      <c r="B165">
        <v>2</v>
      </c>
      <c r="D165">
        <v>2</v>
      </c>
    </row>
    <row r="166" spans="1:4" x14ac:dyDescent="0.3">
      <c r="A166" s="26" t="s">
        <v>108</v>
      </c>
      <c r="B166">
        <v>1</v>
      </c>
      <c r="D166">
        <v>1</v>
      </c>
    </row>
    <row r="167" spans="1:4" x14ac:dyDescent="0.3">
      <c r="A167" s="26" t="s">
        <v>8</v>
      </c>
      <c r="B167">
        <v>1</v>
      </c>
      <c r="D167">
        <v>1</v>
      </c>
    </row>
    <row r="168" spans="1:4" x14ac:dyDescent="0.3">
      <c r="A168" s="2" t="s">
        <v>18</v>
      </c>
      <c r="B168">
        <v>273</v>
      </c>
      <c r="C168">
        <v>190</v>
      </c>
      <c r="D168">
        <v>463</v>
      </c>
    </row>
    <row r="169" spans="1:4" x14ac:dyDescent="0.3">
      <c r="A169" s="26" t="s">
        <v>108</v>
      </c>
      <c r="B169">
        <v>162</v>
      </c>
      <c r="C169">
        <v>117</v>
      </c>
      <c r="D169">
        <v>279</v>
      </c>
    </row>
    <row r="170" spans="1:4" x14ac:dyDescent="0.3">
      <c r="A170" s="26" t="s">
        <v>8</v>
      </c>
      <c r="B170">
        <v>111</v>
      </c>
      <c r="C170">
        <v>73</v>
      </c>
      <c r="D170">
        <v>184</v>
      </c>
    </row>
    <row r="171" spans="1:4" x14ac:dyDescent="0.3">
      <c r="A171" s="2" t="s">
        <v>43</v>
      </c>
      <c r="B171">
        <v>10</v>
      </c>
      <c r="D171">
        <v>10</v>
      </c>
    </row>
    <row r="172" spans="1:4" x14ac:dyDescent="0.3">
      <c r="A172" s="26" t="s">
        <v>8</v>
      </c>
      <c r="B172">
        <v>10</v>
      </c>
      <c r="D172">
        <v>10</v>
      </c>
    </row>
    <row r="173" spans="1:4" x14ac:dyDescent="0.3">
      <c r="A173" s="2" t="s">
        <v>26</v>
      </c>
      <c r="B173">
        <v>121</v>
      </c>
      <c r="C173">
        <v>204</v>
      </c>
      <c r="D173">
        <v>325</v>
      </c>
    </row>
    <row r="174" spans="1:4" x14ac:dyDescent="0.3">
      <c r="A174" s="26" t="s">
        <v>108</v>
      </c>
      <c r="B174">
        <v>48</v>
      </c>
      <c r="C174">
        <v>111</v>
      </c>
      <c r="D174">
        <v>159</v>
      </c>
    </row>
    <row r="175" spans="1:4" x14ac:dyDescent="0.3">
      <c r="A175" s="26" t="s">
        <v>8</v>
      </c>
      <c r="B175">
        <v>73</v>
      </c>
      <c r="C175">
        <v>93</v>
      </c>
      <c r="D175">
        <v>166</v>
      </c>
    </row>
    <row r="176" spans="1:4" x14ac:dyDescent="0.3">
      <c r="A176" s="2" t="s">
        <v>47</v>
      </c>
      <c r="B176">
        <v>9</v>
      </c>
      <c r="D176">
        <v>9</v>
      </c>
    </row>
    <row r="177" spans="1:4" x14ac:dyDescent="0.3">
      <c r="A177" s="26" t="s">
        <v>8</v>
      </c>
      <c r="B177">
        <v>9</v>
      </c>
      <c r="D177">
        <v>9</v>
      </c>
    </row>
    <row r="178" spans="1:4" x14ac:dyDescent="0.3">
      <c r="A178" s="2" t="s">
        <v>13</v>
      </c>
      <c r="B178">
        <v>246</v>
      </c>
      <c r="C178">
        <v>216</v>
      </c>
      <c r="D178">
        <v>462</v>
      </c>
    </row>
    <row r="179" spans="1:4" x14ac:dyDescent="0.3">
      <c r="A179" s="26" t="s">
        <v>108</v>
      </c>
      <c r="B179">
        <v>102</v>
      </c>
      <c r="C179">
        <v>121</v>
      </c>
      <c r="D179">
        <v>223</v>
      </c>
    </row>
    <row r="180" spans="1:4" x14ac:dyDescent="0.3">
      <c r="A180" s="26" t="s">
        <v>8</v>
      </c>
      <c r="B180">
        <v>144</v>
      </c>
      <c r="C180">
        <v>95</v>
      </c>
      <c r="D180">
        <v>239</v>
      </c>
    </row>
    <row r="181" spans="1:4" x14ac:dyDescent="0.3">
      <c r="A181" s="2" t="s">
        <v>48</v>
      </c>
      <c r="B181">
        <v>60</v>
      </c>
      <c r="C181">
        <v>82</v>
      </c>
      <c r="D181">
        <v>142</v>
      </c>
    </row>
    <row r="182" spans="1:4" x14ac:dyDescent="0.3">
      <c r="A182" s="26" t="s">
        <v>108</v>
      </c>
      <c r="B182">
        <v>51</v>
      </c>
      <c r="C182">
        <v>82</v>
      </c>
      <c r="D182">
        <v>133</v>
      </c>
    </row>
    <row r="183" spans="1:4" x14ac:dyDescent="0.3">
      <c r="A183" s="26" t="s">
        <v>8</v>
      </c>
      <c r="B183">
        <v>9</v>
      </c>
      <c r="D183">
        <v>9</v>
      </c>
    </row>
    <row r="184" spans="1:4" x14ac:dyDescent="0.3">
      <c r="A184" s="2" t="s">
        <v>88</v>
      </c>
      <c r="B184">
        <v>1</v>
      </c>
      <c r="C184">
        <v>1</v>
      </c>
      <c r="D184">
        <v>2</v>
      </c>
    </row>
    <row r="185" spans="1:4" x14ac:dyDescent="0.3">
      <c r="A185" s="26" t="s">
        <v>108</v>
      </c>
      <c r="C185">
        <v>1</v>
      </c>
      <c r="D185">
        <v>1</v>
      </c>
    </row>
    <row r="186" spans="1:4" x14ac:dyDescent="0.3">
      <c r="A186" s="26" t="s">
        <v>8</v>
      </c>
      <c r="B186">
        <v>1</v>
      </c>
      <c r="D186">
        <v>1</v>
      </c>
    </row>
    <row r="187" spans="1:4" x14ac:dyDescent="0.3">
      <c r="A187" s="2" t="s">
        <v>120</v>
      </c>
      <c r="C187">
        <v>1</v>
      </c>
      <c r="D187">
        <v>1</v>
      </c>
    </row>
    <row r="188" spans="1:4" x14ac:dyDescent="0.3">
      <c r="A188" s="26" t="s">
        <v>108</v>
      </c>
      <c r="C188">
        <v>1</v>
      </c>
      <c r="D188">
        <v>1</v>
      </c>
    </row>
    <row r="189" spans="1:4" x14ac:dyDescent="0.3">
      <c r="A189" s="2" t="s">
        <v>91</v>
      </c>
      <c r="B189">
        <v>1</v>
      </c>
      <c r="D189">
        <v>1</v>
      </c>
    </row>
    <row r="190" spans="1:4" x14ac:dyDescent="0.3">
      <c r="A190" s="26" t="s">
        <v>8</v>
      </c>
      <c r="B190">
        <v>1</v>
      </c>
      <c r="D190">
        <v>1</v>
      </c>
    </row>
    <row r="191" spans="1:4" x14ac:dyDescent="0.3">
      <c r="A191" s="2" t="s">
        <v>126</v>
      </c>
      <c r="B191">
        <v>1</v>
      </c>
      <c r="D191">
        <v>1</v>
      </c>
    </row>
    <row r="192" spans="1:4" x14ac:dyDescent="0.3">
      <c r="A192" s="26" t="s">
        <v>108</v>
      </c>
      <c r="B192">
        <v>1</v>
      </c>
      <c r="D192">
        <v>1</v>
      </c>
    </row>
    <row r="193" spans="1:4" x14ac:dyDescent="0.3">
      <c r="A193" s="2" t="s">
        <v>85</v>
      </c>
      <c r="B193">
        <v>1</v>
      </c>
      <c r="C193">
        <v>1</v>
      </c>
      <c r="D193">
        <v>2</v>
      </c>
    </row>
    <row r="194" spans="1:4" x14ac:dyDescent="0.3">
      <c r="A194" s="26" t="s">
        <v>108</v>
      </c>
      <c r="C194">
        <v>1</v>
      </c>
      <c r="D194">
        <v>1</v>
      </c>
    </row>
    <row r="195" spans="1:4" x14ac:dyDescent="0.3">
      <c r="A195" s="26" t="s">
        <v>8</v>
      </c>
      <c r="B195">
        <v>1</v>
      </c>
      <c r="D195">
        <v>1</v>
      </c>
    </row>
    <row r="196" spans="1:4" x14ac:dyDescent="0.3">
      <c r="A196" s="2" t="s">
        <v>118</v>
      </c>
      <c r="C196">
        <v>1</v>
      </c>
      <c r="D196">
        <v>1</v>
      </c>
    </row>
    <row r="197" spans="1:4" x14ac:dyDescent="0.3">
      <c r="A197" s="26" t="s">
        <v>108</v>
      </c>
      <c r="C197">
        <v>1</v>
      </c>
      <c r="D197">
        <v>1</v>
      </c>
    </row>
    <row r="198" spans="1:4" x14ac:dyDescent="0.3">
      <c r="A198" s="2" t="s">
        <v>89</v>
      </c>
      <c r="B198">
        <v>1</v>
      </c>
      <c r="D198">
        <v>1</v>
      </c>
    </row>
    <row r="199" spans="1:4" x14ac:dyDescent="0.3">
      <c r="A199" s="26" t="s">
        <v>8</v>
      </c>
      <c r="B199">
        <v>1</v>
      </c>
      <c r="D199">
        <v>1</v>
      </c>
    </row>
    <row r="200" spans="1:4" x14ac:dyDescent="0.3">
      <c r="A200" s="2" t="s">
        <v>114</v>
      </c>
      <c r="C200">
        <v>3</v>
      </c>
      <c r="D200">
        <v>3</v>
      </c>
    </row>
    <row r="201" spans="1:4" x14ac:dyDescent="0.3">
      <c r="A201" s="26" t="s">
        <v>108</v>
      </c>
      <c r="C201">
        <v>3</v>
      </c>
      <c r="D201">
        <v>3</v>
      </c>
    </row>
    <row r="202" spans="1:4" x14ac:dyDescent="0.3">
      <c r="A202" s="2" t="s">
        <v>117</v>
      </c>
      <c r="C202">
        <v>1</v>
      </c>
      <c r="D202">
        <v>1</v>
      </c>
    </row>
    <row r="203" spans="1:4" x14ac:dyDescent="0.3">
      <c r="A203" s="26" t="s">
        <v>108</v>
      </c>
      <c r="C203">
        <v>1</v>
      </c>
      <c r="D203">
        <v>1</v>
      </c>
    </row>
    <row r="204" spans="1:4" x14ac:dyDescent="0.3">
      <c r="A204" s="2" t="s">
        <v>81</v>
      </c>
      <c r="B204">
        <v>2</v>
      </c>
      <c r="C204">
        <v>1</v>
      </c>
      <c r="D204">
        <v>3</v>
      </c>
    </row>
    <row r="205" spans="1:4" x14ac:dyDescent="0.3">
      <c r="A205" s="26" t="s">
        <v>8</v>
      </c>
      <c r="B205">
        <v>2</v>
      </c>
      <c r="C205">
        <v>1</v>
      </c>
      <c r="D205">
        <v>3</v>
      </c>
    </row>
    <row r="206" spans="1:4" x14ac:dyDescent="0.3">
      <c r="A206" s="2" t="s">
        <v>71</v>
      </c>
      <c r="B206">
        <v>11</v>
      </c>
      <c r="C206">
        <v>37</v>
      </c>
      <c r="D206">
        <v>48</v>
      </c>
    </row>
    <row r="207" spans="1:4" x14ac:dyDescent="0.3">
      <c r="A207" s="26" t="s">
        <v>108</v>
      </c>
      <c r="B207">
        <v>5</v>
      </c>
      <c r="C207">
        <v>10</v>
      </c>
      <c r="D207">
        <v>15</v>
      </c>
    </row>
    <row r="208" spans="1:4" x14ac:dyDescent="0.3">
      <c r="A208" s="26" t="s">
        <v>8</v>
      </c>
      <c r="B208">
        <v>6</v>
      </c>
      <c r="C208">
        <v>27</v>
      </c>
      <c r="D208">
        <v>33</v>
      </c>
    </row>
    <row r="209" spans="1:4" x14ac:dyDescent="0.3">
      <c r="A209" s="2" t="s">
        <v>62</v>
      </c>
      <c r="B209">
        <v>31</v>
      </c>
      <c r="C209">
        <v>45</v>
      </c>
      <c r="D209">
        <v>76</v>
      </c>
    </row>
    <row r="210" spans="1:4" x14ac:dyDescent="0.3">
      <c r="A210" s="26" t="s">
        <v>108</v>
      </c>
      <c r="B210">
        <v>15</v>
      </c>
      <c r="C210">
        <v>16</v>
      </c>
      <c r="D210">
        <v>31</v>
      </c>
    </row>
    <row r="211" spans="1:4" x14ac:dyDescent="0.3">
      <c r="A211" s="26" t="s">
        <v>8</v>
      </c>
      <c r="B211">
        <v>16</v>
      </c>
      <c r="C211">
        <v>29</v>
      </c>
      <c r="D211">
        <v>45</v>
      </c>
    </row>
    <row r="212" spans="1:4" x14ac:dyDescent="0.3">
      <c r="A212" s="2" t="s">
        <v>119</v>
      </c>
      <c r="C212">
        <v>1</v>
      </c>
      <c r="D212">
        <v>1</v>
      </c>
    </row>
    <row r="213" spans="1:4" x14ac:dyDescent="0.3">
      <c r="A213" s="26" t="s">
        <v>108</v>
      </c>
      <c r="C213">
        <v>1</v>
      </c>
      <c r="D213">
        <v>1</v>
      </c>
    </row>
    <row r="214" spans="1:4" x14ac:dyDescent="0.3">
      <c r="A214" s="2" t="s">
        <v>42</v>
      </c>
      <c r="B214">
        <v>10</v>
      </c>
      <c r="D214">
        <v>10</v>
      </c>
    </row>
    <row r="215" spans="1:4" x14ac:dyDescent="0.3">
      <c r="A215" s="26" t="s">
        <v>8</v>
      </c>
      <c r="B215">
        <v>10</v>
      </c>
      <c r="D215">
        <v>10</v>
      </c>
    </row>
    <row r="216" spans="1:4" x14ac:dyDescent="0.3">
      <c r="A216" s="2" t="s">
        <v>40</v>
      </c>
      <c r="B216">
        <v>10</v>
      </c>
      <c r="D216">
        <v>10</v>
      </c>
    </row>
    <row r="217" spans="1:4" x14ac:dyDescent="0.3">
      <c r="A217" s="26" t="s">
        <v>8</v>
      </c>
      <c r="B217">
        <v>10</v>
      </c>
      <c r="D217">
        <v>10</v>
      </c>
    </row>
    <row r="218" spans="1:4" x14ac:dyDescent="0.3">
      <c r="A218" s="2" t="s">
        <v>10</v>
      </c>
      <c r="B218">
        <v>500</v>
      </c>
      <c r="C218">
        <v>423</v>
      </c>
      <c r="D218">
        <v>923</v>
      </c>
    </row>
    <row r="219" spans="1:4" x14ac:dyDescent="0.3">
      <c r="A219" s="26" t="s">
        <v>108</v>
      </c>
      <c r="B219">
        <v>280</v>
      </c>
      <c r="C219">
        <v>325</v>
      </c>
      <c r="D219">
        <v>605</v>
      </c>
    </row>
    <row r="220" spans="1:4" x14ac:dyDescent="0.3">
      <c r="A220" s="26" t="s">
        <v>8</v>
      </c>
      <c r="B220">
        <v>220</v>
      </c>
      <c r="C220">
        <v>98</v>
      </c>
      <c r="D220">
        <v>318</v>
      </c>
    </row>
    <row r="221" spans="1:4" x14ac:dyDescent="0.3">
      <c r="A221" s="2" t="s">
        <v>59</v>
      </c>
      <c r="C221">
        <v>2</v>
      </c>
      <c r="D221">
        <v>2</v>
      </c>
    </row>
    <row r="222" spans="1:4" x14ac:dyDescent="0.3">
      <c r="A222" s="26" t="s">
        <v>8</v>
      </c>
      <c r="C222">
        <v>2</v>
      </c>
      <c r="D222">
        <v>2</v>
      </c>
    </row>
    <row r="223" spans="1:4" x14ac:dyDescent="0.3">
      <c r="A223" s="2" t="s">
        <v>27</v>
      </c>
      <c r="B223">
        <v>137</v>
      </c>
      <c r="C223">
        <v>29</v>
      </c>
      <c r="D223">
        <v>166</v>
      </c>
    </row>
    <row r="224" spans="1:4" x14ac:dyDescent="0.3">
      <c r="A224" s="26" t="s">
        <v>108</v>
      </c>
      <c r="B224">
        <v>71</v>
      </c>
      <c r="C224">
        <v>16</v>
      </c>
      <c r="D224">
        <v>87</v>
      </c>
    </row>
    <row r="225" spans="1:4" x14ac:dyDescent="0.3">
      <c r="A225" s="26" t="s">
        <v>8</v>
      </c>
      <c r="B225">
        <v>66</v>
      </c>
      <c r="C225">
        <v>13</v>
      </c>
      <c r="D225">
        <v>79</v>
      </c>
    </row>
    <row r="226" spans="1:4" x14ac:dyDescent="0.3">
      <c r="A226" s="2" t="s">
        <v>95</v>
      </c>
      <c r="B226">
        <v>1</v>
      </c>
      <c r="D226">
        <v>1</v>
      </c>
    </row>
    <row r="227" spans="1:4" x14ac:dyDescent="0.3">
      <c r="A227" s="26" t="s">
        <v>8</v>
      </c>
      <c r="B227">
        <v>1</v>
      </c>
      <c r="D227">
        <v>1</v>
      </c>
    </row>
    <row r="228" spans="1:4" x14ac:dyDescent="0.3">
      <c r="A228" s="2" t="s">
        <v>94</v>
      </c>
      <c r="B228">
        <v>2</v>
      </c>
      <c r="D228">
        <v>2</v>
      </c>
    </row>
    <row r="229" spans="1:4" x14ac:dyDescent="0.3">
      <c r="A229" s="26" t="s">
        <v>108</v>
      </c>
      <c r="B229">
        <v>1</v>
      </c>
      <c r="D229">
        <v>1</v>
      </c>
    </row>
    <row r="230" spans="1:4" x14ac:dyDescent="0.3">
      <c r="A230" s="26" t="s">
        <v>8</v>
      </c>
      <c r="B230">
        <v>1</v>
      </c>
      <c r="D230">
        <v>1</v>
      </c>
    </row>
    <row r="231" spans="1:4" x14ac:dyDescent="0.3">
      <c r="A231" s="2" t="s">
        <v>84</v>
      </c>
      <c r="B231">
        <v>2</v>
      </c>
      <c r="D231">
        <v>2</v>
      </c>
    </row>
    <row r="232" spans="1:4" x14ac:dyDescent="0.3">
      <c r="A232" s="26" t="s">
        <v>8</v>
      </c>
      <c r="B232">
        <v>2</v>
      </c>
      <c r="D232">
        <v>2</v>
      </c>
    </row>
    <row r="233" spans="1:4" x14ac:dyDescent="0.3">
      <c r="A233" s="2" t="s">
        <v>68</v>
      </c>
      <c r="B233">
        <v>10</v>
      </c>
      <c r="C233">
        <v>3</v>
      </c>
      <c r="D233">
        <v>13</v>
      </c>
    </row>
    <row r="234" spans="1:4" x14ac:dyDescent="0.3">
      <c r="A234" s="26" t="s">
        <v>108</v>
      </c>
      <c r="B234">
        <v>4</v>
      </c>
      <c r="C234">
        <v>3</v>
      </c>
      <c r="D234">
        <v>7</v>
      </c>
    </row>
    <row r="235" spans="1:4" x14ac:dyDescent="0.3">
      <c r="A235" s="26" t="s">
        <v>8</v>
      </c>
      <c r="B235">
        <v>6</v>
      </c>
      <c r="D235">
        <v>6</v>
      </c>
    </row>
    <row r="236" spans="1:4" x14ac:dyDescent="0.3">
      <c r="A236" s="2" t="s">
        <v>72</v>
      </c>
      <c r="B236">
        <v>6</v>
      </c>
      <c r="C236">
        <v>5</v>
      </c>
      <c r="D236">
        <v>11</v>
      </c>
    </row>
    <row r="237" spans="1:4" x14ac:dyDescent="0.3">
      <c r="A237" s="26" t="s">
        <v>8</v>
      </c>
      <c r="B237">
        <v>6</v>
      </c>
      <c r="C237">
        <v>5</v>
      </c>
      <c r="D237">
        <v>11</v>
      </c>
    </row>
    <row r="238" spans="1:4" x14ac:dyDescent="0.3">
      <c r="A238" s="2" t="s">
        <v>80</v>
      </c>
      <c r="B238">
        <v>3</v>
      </c>
      <c r="C238">
        <v>4</v>
      </c>
      <c r="D238">
        <v>7</v>
      </c>
    </row>
    <row r="239" spans="1:4" x14ac:dyDescent="0.3">
      <c r="A239" s="26" t="s">
        <v>108</v>
      </c>
      <c r="C239">
        <v>3</v>
      </c>
      <c r="D239">
        <v>3</v>
      </c>
    </row>
    <row r="240" spans="1:4" x14ac:dyDescent="0.3">
      <c r="A240" s="26" t="s">
        <v>8</v>
      </c>
      <c r="B240">
        <v>3</v>
      </c>
      <c r="C240">
        <v>1</v>
      </c>
      <c r="D240">
        <v>4</v>
      </c>
    </row>
    <row r="241" spans="1:4" x14ac:dyDescent="0.3">
      <c r="A241" s="2" t="s">
        <v>74</v>
      </c>
      <c r="B241">
        <v>4</v>
      </c>
      <c r="D241">
        <v>4</v>
      </c>
    </row>
    <row r="242" spans="1:4" x14ac:dyDescent="0.3">
      <c r="A242" s="26" t="s">
        <v>8</v>
      </c>
      <c r="B242">
        <v>4</v>
      </c>
      <c r="D242">
        <v>4</v>
      </c>
    </row>
    <row r="243" spans="1:4" x14ac:dyDescent="0.3">
      <c r="A243" s="2" t="s">
        <v>87</v>
      </c>
      <c r="B243">
        <v>1</v>
      </c>
      <c r="C243">
        <v>1</v>
      </c>
      <c r="D243">
        <v>2</v>
      </c>
    </row>
    <row r="244" spans="1:4" x14ac:dyDescent="0.3">
      <c r="A244" s="26" t="s">
        <v>8</v>
      </c>
      <c r="B244">
        <v>1</v>
      </c>
      <c r="C244">
        <v>1</v>
      </c>
      <c r="D244">
        <v>2</v>
      </c>
    </row>
    <row r="245" spans="1:4" x14ac:dyDescent="0.3">
      <c r="A245" s="2" t="s">
        <v>82</v>
      </c>
      <c r="B245">
        <v>2</v>
      </c>
      <c r="D245">
        <v>2</v>
      </c>
    </row>
    <row r="246" spans="1:4" x14ac:dyDescent="0.3">
      <c r="A246" s="26" t="s">
        <v>8</v>
      </c>
      <c r="B246">
        <v>2</v>
      </c>
      <c r="D246">
        <v>2</v>
      </c>
    </row>
    <row r="247" spans="1:4" x14ac:dyDescent="0.3">
      <c r="A247" s="2" t="s">
        <v>67</v>
      </c>
      <c r="B247">
        <v>9</v>
      </c>
      <c r="C247">
        <v>3</v>
      </c>
      <c r="D247">
        <v>12</v>
      </c>
    </row>
    <row r="248" spans="1:4" x14ac:dyDescent="0.3">
      <c r="A248" s="26" t="s">
        <v>108</v>
      </c>
      <c r="B248">
        <v>3</v>
      </c>
      <c r="C248">
        <v>3</v>
      </c>
      <c r="D248">
        <v>6</v>
      </c>
    </row>
    <row r="249" spans="1:4" x14ac:dyDescent="0.3">
      <c r="A249" s="26" t="s">
        <v>8</v>
      </c>
      <c r="B249">
        <v>6</v>
      </c>
      <c r="D249">
        <v>6</v>
      </c>
    </row>
    <row r="250" spans="1:4" x14ac:dyDescent="0.3">
      <c r="A250" s="2" t="s">
        <v>73</v>
      </c>
      <c r="B250">
        <v>41</v>
      </c>
      <c r="C250">
        <v>66</v>
      </c>
      <c r="D250">
        <v>107</v>
      </c>
    </row>
    <row r="251" spans="1:4" x14ac:dyDescent="0.3">
      <c r="A251" s="26" t="s">
        <v>108</v>
      </c>
      <c r="B251">
        <v>37</v>
      </c>
      <c r="C251">
        <v>58</v>
      </c>
      <c r="D251">
        <v>95</v>
      </c>
    </row>
    <row r="252" spans="1:4" x14ac:dyDescent="0.3">
      <c r="A252" s="26" t="s">
        <v>8</v>
      </c>
      <c r="B252">
        <v>4</v>
      </c>
      <c r="C252">
        <v>8</v>
      </c>
      <c r="D252">
        <v>12</v>
      </c>
    </row>
    <row r="253" spans="1:4" x14ac:dyDescent="0.3">
      <c r="A253" s="2" t="s">
        <v>97</v>
      </c>
      <c r="B253">
        <v>1</v>
      </c>
      <c r="C253">
        <v>2</v>
      </c>
      <c r="D253">
        <v>3</v>
      </c>
    </row>
    <row r="254" spans="1:4" x14ac:dyDescent="0.3">
      <c r="A254" s="26" t="s">
        <v>108</v>
      </c>
      <c r="B254">
        <v>1</v>
      </c>
      <c r="C254">
        <v>1</v>
      </c>
      <c r="D254">
        <v>2</v>
      </c>
    </row>
    <row r="255" spans="1:4" x14ac:dyDescent="0.3">
      <c r="A255" s="26" t="s">
        <v>8</v>
      </c>
      <c r="C255">
        <v>1</v>
      </c>
      <c r="D255">
        <v>1</v>
      </c>
    </row>
    <row r="256" spans="1:4" x14ac:dyDescent="0.3">
      <c r="A256" s="2" t="s">
        <v>92</v>
      </c>
      <c r="B256">
        <v>1</v>
      </c>
      <c r="D256">
        <v>1</v>
      </c>
    </row>
    <row r="257" spans="1:4" x14ac:dyDescent="0.3">
      <c r="A257" s="26" t="s">
        <v>8</v>
      </c>
      <c r="B257">
        <v>1</v>
      </c>
      <c r="D257">
        <v>1</v>
      </c>
    </row>
    <row r="258" spans="1:4" x14ac:dyDescent="0.3">
      <c r="A258" s="2" t="s">
        <v>79</v>
      </c>
      <c r="B258">
        <v>3</v>
      </c>
      <c r="D258">
        <v>3</v>
      </c>
    </row>
    <row r="259" spans="1:4" x14ac:dyDescent="0.3">
      <c r="A259" s="26" t="s">
        <v>8</v>
      </c>
      <c r="B259">
        <v>3</v>
      </c>
      <c r="D259">
        <v>3</v>
      </c>
    </row>
    <row r="260" spans="1:4" x14ac:dyDescent="0.3">
      <c r="A260" s="2" t="s">
        <v>76</v>
      </c>
      <c r="B260">
        <v>41</v>
      </c>
      <c r="C260">
        <v>63</v>
      </c>
      <c r="D260">
        <v>104</v>
      </c>
    </row>
    <row r="261" spans="1:4" x14ac:dyDescent="0.3">
      <c r="A261" s="26" t="s">
        <v>108</v>
      </c>
      <c r="B261">
        <v>37</v>
      </c>
      <c r="C261">
        <v>55</v>
      </c>
      <c r="D261">
        <v>92</v>
      </c>
    </row>
    <row r="262" spans="1:4" x14ac:dyDescent="0.3">
      <c r="A262" s="26" t="s">
        <v>8</v>
      </c>
      <c r="B262">
        <v>4</v>
      </c>
      <c r="C262">
        <v>8</v>
      </c>
      <c r="D262">
        <v>12</v>
      </c>
    </row>
    <row r="263" spans="1:4" x14ac:dyDescent="0.3">
      <c r="A263" s="2" t="s">
        <v>115</v>
      </c>
      <c r="C263">
        <v>2</v>
      </c>
      <c r="D263">
        <v>2</v>
      </c>
    </row>
    <row r="264" spans="1:4" x14ac:dyDescent="0.3">
      <c r="A264" s="26" t="s">
        <v>108</v>
      </c>
      <c r="C264">
        <v>2</v>
      </c>
      <c r="D264">
        <v>2</v>
      </c>
    </row>
    <row r="265" spans="1:4" x14ac:dyDescent="0.3">
      <c r="A265" s="2" t="s">
        <v>75</v>
      </c>
      <c r="B265">
        <v>41</v>
      </c>
      <c r="C265">
        <v>70</v>
      </c>
      <c r="D265">
        <v>111</v>
      </c>
    </row>
    <row r="266" spans="1:4" x14ac:dyDescent="0.3">
      <c r="A266" s="26" t="s">
        <v>108</v>
      </c>
      <c r="B266">
        <v>37</v>
      </c>
      <c r="C266">
        <v>55</v>
      </c>
      <c r="D266">
        <v>92</v>
      </c>
    </row>
    <row r="267" spans="1:4" x14ac:dyDescent="0.3">
      <c r="A267" s="26" t="s">
        <v>8</v>
      </c>
      <c r="B267">
        <v>4</v>
      </c>
      <c r="C267">
        <v>15</v>
      </c>
      <c r="D267">
        <v>19</v>
      </c>
    </row>
    <row r="268" spans="1:4" x14ac:dyDescent="0.3">
      <c r="A268" s="2" t="s">
        <v>125</v>
      </c>
      <c r="B268">
        <v>1</v>
      </c>
      <c r="D268">
        <v>1</v>
      </c>
    </row>
    <row r="269" spans="1:4" x14ac:dyDescent="0.3">
      <c r="A269" s="26" t="s">
        <v>108</v>
      </c>
      <c r="B269">
        <v>1</v>
      </c>
      <c r="D269">
        <v>1</v>
      </c>
    </row>
    <row r="270" spans="1:4" x14ac:dyDescent="0.3">
      <c r="A270" s="2" t="s">
        <v>78</v>
      </c>
      <c r="B270">
        <v>4</v>
      </c>
      <c r="D270">
        <v>4</v>
      </c>
    </row>
    <row r="271" spans="1:4" x14ac:dyDescent="0.3">
      <c r="A271" s="26" t="s">
        <v>8</v>
      </c>
      <c r="B271">
        <v>4</v>
      </c>
      <c r="D271">
        <v>4</v>
      </c>
    </row>
    <row r="272" spans="1:4" x14ac:dyDescent="0.3">
      <c r="A272" s="2" t="s">
        <v>86</v>
      </c>
      <c r="B272">
        <v>1</v>
      </c>
      <c r="D272">
        <v>1</v>
      </c>
    </row>
    <row r="273" spans="1:4" x14ac:dyDescent="0.3">
      <c r="A273" s="26" t="s">
        <v>8</v>
      </c>
      <c r="B273">
        <v>1</v>
      </c>
      <c r="D273">
        <v>1</v>
      </c>
    </row>
    <row r="274" spans="1:4" x14ac:dyDescent="0.3">
      <c r="A274" s="2" t="s">
        <v>132</v>
      </c>
      <c r="B274">
        <v>7920</v>
      </c>
      <c r="C274">
        <v>7657</v>
      </c>
      <c r="D274">
        <v>15577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Hernie Daten</vt:lpstr>
      <vt:lpstr>Hernie Übersicht</vt:lpstr>
      <vt:lpstr>Galle Daten</vt:lpstr>
      <vt:lpstr>Galle Übersicht</vt:lpstr>
      <vt:lpstr>Gesamt Daten</vt:lpstr>
      <vt:lpstr>Gesamtübersicht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Steffen Marz</dc:creator>
  <cp:keywords/>
  <dc:description/>
  <cp:lastModifiedBy>Maier Florian</cp:lastModifiedBy>
  <cp:revision/>
  <dcterms:created xsi:type="dcterms:W3CDTF">2015-06-05T18:19:34Z</dcterms:created>
  <dcterms:modified xsi:type="dcterms:W3CDTF">2026-01-30T13:01:37Z</dcterms:modified>
  <cp:category/>
  <cp:contentStatus/>
</cp:coreProperties>
</file>